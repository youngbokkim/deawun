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a0ac7c471b936a/Desktop/"/>
    </mc:Choice>
  </mc:AlternateContent>
  <xr:revisionPtr revIDLastSave="0" documentId="14_{5A79690C-5234-4829-B7F5-9DCF7DF782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견적서" sheetId="2" r:id="rId1"/>
    <sheet name="내역서" sheetId="5" r:id="rId2"/>
  </sheets>
  <definedNames>
    <definedName name="_" localSheetId="1">#REF!</definedName>
    <definedName name="_">#REF!</definedName>
    <definedName name="__10" localSheetId="1">#REF!</definedName>
    <definedName name="__10">#REF!</definedName>
    <definedName name="__11" localSheetId="1">#REF!</definedName>
    <definedName name="__11">#REF!</definedName>
    <definedName name="__6" localSheetId="1">#REF!</definedName>
    <definedName name="__6">#REF!</definedName>
    <definedName name="__7" localSheetId="1">#REF!</definedName>
    <definedName name="__7">#REF!</definedName>
    <definedName name="__8" localSheetId="1">#REF!</definedName>
    <definedName name="__8">#REF!</definedName>
    <definedName name="__9" localSheetId="1">#REF!</definedName>
    <definedName name="__9">#REF!</definedName>
    <definedName name="__A100000" localSheetId="1">#REF!</definedName>
    <definedName name="__A100000">#REF!</definedName>
    <definedName name="__A66000" localSheetId="1">#REF!</definedName>
    <definedName name="__A66000">#REF!</definedName>
    <definedName name="__A67000" localSheetId="1">#REF!</definedName>
    <definedName name="__A67000">#REF!</definedName>
    <definedName name="__A68000" localSheetId="1">#REF!</definedName>
    <definedName name="__A68000">#REF!</definedName>
    <definedName name="__A80000" localSheetId="1">#REF!</definedName>
    <definedName name="__A80000">#REF!</definedName>
    <definedName name="__PRN2" localSheetId="1">#REF!</definedName>
    <definedName name="__PRN2">#REF!</definedName>
    <definedName name="__PRN3" localSheetId="1">#REF!</definedName>
    <definedName name="__PRN3">#REF!</definedName>
    <definedName name="__PRN4" localSheetId="1">#REF!</definedName>
    <definedName name="__PRN4">#REF!</definedName>
    <definedName name="__PRN6" localSheetId="1">#REF!</definedName>
    <definedName name="__PRN6">#REF!</definedName>
    <definedName name="__PRN7" localSheetId="1">#REF!</definedName>
    <definedName name="__PRN7">#REF!</definedName>
    <definedName name="__ST1">#N/A</definedName>
    <definedName name="__W1" localSheetId="1">#REF!</definedName>
    <definedName name="__W1">#REF!</definedName>
    <definedName name="__zz1" localSheetId="1">#REF!</definedName>
    <definedName name="__zz1">#REF!</definedName>
    <definedName name="_1">#N/A</definedName>
    <definedName name="_10">#N/A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3">#N/A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4">#N/A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>#N/A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>#N/A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A1" localSheetId="1">#REF!</definedName>
    <definedName name="_AA1">#REF!</definedName>
    <definedName name="_C" localSheetId="1">#REF!</definedName>
    <definedName name="_C">#REF!</definedName>
    <definedName name="_ELL45" localSheetId="1">#REF!</definedName>
    <definedName name="_ELL45">#REF!</definedName>
    <definedName name="_ELL90" localSheetId="1">#REF!</definedName>
    <definedName name="_ELL90">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MatInverse_In" localSheetId="1" hidden="1">#REF!</definedName>
    <definedName name="_MatInverse_In" hidden="1">#REF!</definedName>
    <definedName name="_MatMult_A" localSheetId="1" hidden="1">#REF!</definedName>
    <definedName name="_MatMult_A" hidden="1">#REF!</definedName>
    <definedName name="_MatMult_AxB" localSheetId="1" hidden="1">#REF!</definedName>
    <definedName name="_MatMult_AxB" hidden="1">#REF!</definedName>
    <definedName name="_MatMult_B" localSheetId="1" hidden="1">#REF!</definedName>
    <definedName name="_MatMult_B" hidden="1">#REF!</definedName>
    <definedName name="_Order1" hidden="1">255</definedName>
    <definedName name="_Order2" hidden="1">255</definedName>
    <definedName name="_RE100" localSheetId="1">#REF!</definedName>
    <definedName name="_RE100">#REF!</definedName>
    <definedName name="_RE104" localSheetId="1">#REF!</definedName>
    <definedName name="_RE104">#REF!</definedName>
    <definedName name="_RE112" localSheetId="1">#REF!</definedName>
    <definedName name="_RE112">#REF!</definedName>
    <definedName name="_RE26" localSheetId="1">#REF!</definedName>
    <definedName name="_RE26">#REF!</definedName>
    <definedName name="_RE28" localSheetId="1">#REF!</definedName>
    <definedName name="_RE28">#REF!</definedName>
    <definedName name="_RE30" localSheetId="1">#REF!</definedName>
    <definedName name="_RE30">#REF!</definedName>
    <definedName name="_RE32" localSheetId="1">#REF!</definedName>
    <definedName name="_RE32">#REF!</definedName>
    <definedName name="_RE34" localSheetId="1">#REF!</definedName>
    <definedName name="_RE34">#REF!</definedName>
    <definedName name="_RE36" localSheetId="1">#REF!</definedName>
    <definedName name="_RE36">#REF!</definedName>
    <definedName name="_RE38" localSheetId="1">#REF!</definedName>
    <definedName name="_RE38">#REF!</definedName>
    <definedName name="_RE40" localSheetId="1">#REF!</definedName>
    <definedName name="_RE40">#REF!</definedName>
    <definedName name="_RE42" localSheetId="1">#REF!</definedName>
    <definedName name="_RE42">#REF!</definedName>
    <definedName name="_RE44" localSheetId="1">#REF!</definedName>
    <definedName name="_RE44">#REF!</definedName>
    <definedName name="_RE48" localSheetId="1">#REF!</definedName>
    <definedName name="_RE48">#REF!</definedName>
    <definedName name="_RE52" localSheetId="1">#REF!</definedName>
    <definedName name="_RE52">#REF!</definedName>
    <definedName name="_RE56" localSheetId="1">#REF!</definedName>
    <definedName name="_RE56">#REF!</definedName>
    <definedName name="_RE60" localSheetId="1">#REF!</definedName>
    <definedName name="_RE60">#REF!</definedName>
    <definedName name="_RE64" localSheetId="1">#REF!</definedName>
    <definedName name="_RE64">#REF!</definedName>
    <definedName name="_RE68" localSheetId="1">#REF!</definedName>
    <definedName name="_RE68">#REF!</definedName>
    <definedName name="_RE72" localSheetId="1">#REF!</definedName>
    <definedName name="_RE72">#REF!</definedName>
    <definedName name="_RE76" localSheetId="1">#REF!</definedName>
    <definedName name="_RE76">#REF!</definedName>
    <definedName name="_RE80" localSheetId="1">#REF!</definedName>
    <definedName name="_RE80">#REF!</definedName>
    <definedName name="_RE88" localSheetId="1">#REF!</definedName>
    <definedName name="_RE88">#REF!</definedName>
    <definedName name="_RE92" localSheetId="1">#REF!</definedName>
    <definedName name="_RE92">#REF!</definedName>
    <definedName name="_RE96" localSheetId="1">#REF!</definedName>
    <definedName name="_RE96">#REF!</definedName>
    <definedName name="_Regression_Int" hidden="1">1</definedName>
    <definedName name="_Sort" localSheetId="1" hidden="1">#REF!</definedName>
    <definedName name="_Sort" hidden="1">#REF!</definedName>
    <definedName name="\1" localSheetId="1">#REF!</definedName>
    <definedName name="\1">#REF!</definedName>
    <definedName name="\2" localSheetId="1">#REF!</definedName>
    <definedName name="\2">#REF!</definedName>
    <definedName name="\3" localSheetId="1">#REF!</definedName>
    <definedName name="\3">#REF!</definedName>
    <definedName name="\a" localSheetId="1">#REF!</definedName>
    <definedName name="\a">#REF!</definedName>
    <definedName name="\b">#N/A</definedName>
    <definedName name="\c" localSheetId="1">#REF!</definedName>
    <definedName name="\c">#REF!</definedName>
    <definedName name="\d" localSheetId="1">#REF!</definedName>
    <definedName name="\d">#REF!</definedName>
    <definedName name="\dddddddd">#N/A</definedName>
    <definedName name="\ddddddddd">#N/A</definedName>
    <definedName name="\e">#N/A</definedName>
    <definedName name="\f">#N/A</definedName>
    <definedName name="\g" localSheetId="1">#REF!</definedName>
    <definedName name="\g">#REF!</definedName>
    <definedName name="\h" localSheetId="1">#REF!</definedName>
    <definedName name="\h">#REF!</definedName>
    <definedName name="\hhhhhhhhh">#N/A</definedName>
    <definedName name="\i">#N/A</definedName>
    <definedName name="\j">#N/A</definedName>
    <definedName name="\k">#N/A</definedName>
    <definedName name="\l" localSheetId="1">#REF!</definedName>
    <definedName name="\l">#REF!</definedName>
    <definedName name="\n" localSheetId="1">#REF!</definedName>
    <definedName name="\n">#REF!</definedName>
    <definedName name="\p" localSheetId="1">#REF!</definedName>
    <definedName name="\p">#REF!</definedName>
    <definedName name="\r" localSheetId="1">#REF!</definedName>
    <definedName name="\r">#REF!</definedName>
    <definedName name="\s" localSheetId="1">#REF!</definedName>
    <definedName name="\s">#REF!</definedName>
    <definedName name="\u" localSheetId="1">#REF!</definedName>
    <definedName name="\u">#REF!</definedName>
    <definedName name="\z" localSheetId="1">#REF!</definedName>
    <definedName name="\z">#REF!</definedName>
    <definedName name="a" localSheetId="1">#REF!</definedName>
    <definedName name="a">#REF!</definedName>
    <definedName name="A315yoo1" localSheetId="1">#REF!</definedName>
    <definedName name="A315yoo1">#REF!</definedName>
    <definedName name="aaaaaaaaaa" localSheetId="1">#REF!</definedName>
    <definedName name="aaaaaaaaaa">#REF!</definedName>
    <definedName name="aaaaaaaaaaaaaaaaaaa" localSheetId="1">#REF!</definedName>
    <definedName name="aaaaaaaaaaaaaaaaaaa">#REF!</definedName>
    <definedName name="ADC" localSheetId="1" hidden="1">#REF!</definedName>
    <definedName name="ADC" hidden="1">#REF!</definedName>
    <definedName name="air_trap" localSheetId="1">#REF!</definedName>
    <definedName name="air_trap">#REF!</definedName>
    <definedName name="angle" localSheetId="1">#REF!</definedName>
    <definedName name="angle">#REF!</definedName>
    <definedName name="APT" localSheetId="1">#REF!</definedName>
    <definedName name="APT">#REF!</definedName>
    <definedName name="aq" localSheetId="1" hidden="1">{#N/A,#N/A,FALSE,"CCTV"}</definedName>
    <definedName name="aq" hidden="1">{#N/A,#N/A,FALSE,"CCTV"}</definedName>
    <definedName name="AS1_" localSheetId="1">#REF!</definedName>
    <definedName name="AS1_">#REF!</definedName>
    <definedName name="asdrrrrrrrrrrrrrrrrrrrrrrr" localSheetId="1">#REF!</definedName>
    <definedName name="asdrrrrrrrrrrrrrrrrrrrrrrr">#REF!</definedName>
    <definedName name="b" localSheetId="1">#REF!</definedName>
    <definedName name="b">#REF!</definedName>
    <definedName name="B_1" localSheetId="1">#REF!</definedName>
    <definedName name="B_1">#REF!</definedName>
    <definedName name="B_FLG" localSheetId="1">#REF!</definedName>
    <definedName name="B_FLG">#REF!</definedName>
    <definedName name="back_pressure" localSheetId="1">#REF!</definedName>
    <definedName name="back_pressure">#REF!</definedName>
    <definedName name="ball" localSheetId="1">#REF!</definedName>
    <definedName name="ball">#REF!</definedName>
    <definedName name="BB" localSheetId="1">#REF!</definedName>
    <definedName name="BB">#REF!</definedName>
    <definedName name="BHJ" localSheetId="1" hidden="1">{#N/A,#N/A,FALSE,"Sheet6"}</definedName>
    <definedName name="BHJ" hidden="1">{#N/A,#N/A,FALSE,"Sheet6"}</definedName>
    <definedName name="BOLT" localSheetId="1">#REF!</definedName>
    <definedName name="BOLT">#REF!</definedName>
    <definedName name="BOQ" localSheetId="1">#REF!</definedName>
    <definedName name="BOQ">#REF!</definedName>
    <definedName name="BOSS" localSheetId="1">#REF!</definedName>
    <definedName name="BOSS">#REF!</definedName>
    <definedName name="butterfly" localSheetId="1">#REF!</definedName>
    <definedName name="butterfly">#REF!</definedName>
    <definedName name="C_" localSheetId="1">#REF!</definedName>
    <definedName name="C_">#REF!</definedName>
    <definedName name="CAP" localSheetId="1">#REF!</definedName>
    <definedName name="CAP">#REF!</definedName>
    <definedName name="CashBalance" localSheetId="1">#REF!</definedName>
    <definedName name="CashBalance">#REF!</definedName>
    <definedName name="CATEGORY">#N/A</definedName>
    <definedName name="check" localSheetId="1">#REF!</definedName>
    <definedName name="check">#REF!</definedName>
    <definedName name="CHO">#N/A</definedName>
    <definedName name="cj">#N/A</definedName>
    <definedName name="code" localSheetId="1">#REF!</definedName>
    <definedName name="code">#REF!</definedName>
    <definedName name="COM" localSheetId="1">#REF!</definedName>
    <definedName name="COM">#REF!</definedName>
    <definedName name="COMPANY">#N/A</definedName>
    <definedName name="CONC">#N/A</definedName>
    <definedName name="CPLG" localSheetId="1">#REF!</definedName>
    <definedName name="CPLG">#REF!</definedName>
    <definedName name="_xlnm.Criteria" localSheetId="1">#REF!</definedName>
    <definedName name="_xlnm.Criteria">#REF!</definedName>
    <definedName name="D" localSheetId="1">#REF!</definedName>
    <definedName name="D">#REF!</definedName>
    <definedName name="data" localSheetId="1">#REF!</definedName>
    <definedName name="data">#REF!</definedName>
    <definedName name="_xlnm.Database" localSheetId="1">#REF!</definedName>
    <definedName name="_xlnm.Database">#REF!</definedName>
    <definedName name="database2" localSheetId="1">#REF!</definedName>
    <definedName name="database2">#REF!</definedName>
    <definedName name="DAY">#N/A</definedName>
    <definedName name="ddd" localSheetId="1">#REF!</definedName>
    <definedName name="ddd">#REF!</definedName>
    <definedName name="DETAIL">#N/A</definedName>
    <definedName name="dfd" localSheetId="1" hidden="1">{#N/A,#N/A,FALSE,"Sheet6"}</definedName>
    <definedName name="dfd" hidden="1">{#N/A,#N/A,FALSE,"Sheet6"}</definedName>
    <definedName name="DFSD" localSheetId="1" hidden="1">{#N/A,#N/A,FALSE,"Sheet6"}</definedName>
    <definedName name="DFSD" hidden="1">{#N/A,#N/A,FALSE,"Sheet6"}</definedName>
    <definedName name="diameter" localSheetId="1">#REF!</definedName>
    <definedName name="diameter">#REF!</definedName>
    <definedName name="diaphragm" localSheetId="1">#REF!</definedName>
    <definedName name="diaphragm">#REF!</definedName>
    <definedName name="dldyddn" localSheetId="1" hidden="1">{"'별표'!$N$220"}</definedName>
    <definedName name="dldyddn" hidden="1">{"'별표'!$N$220"}</definedName>
    <definedName name="Document_array">{"Book1","예술의전당.xls"}</definedName>
    <definedName name="DOGUB" localSheetId="1">#REF!</definedName>
    <definedName name="DOGUB">#REF!</definedName>
    <definedName name="DOOR" localSheetId="1">#REF!</definedName>
    <definedName name="DOOR">#REF!</definedName>
    <definedName name="drain_trap" localSheetId="1">#REF!</definedName>
    <definedName name="drain_trap">#REF!</definedName>
    <definedName name="DROW">#N/A</definedName>
    <definedName name="dual_plate_check" localSheetId="1">#REF!</definedName>
    <definedName name="dual_plate_check">#REF!</definedName>
    <definedName name="DUCT_GONG" localSheetId="1">#REF!</definedName>
    <definedName name="DUCT_GONG">#REF!</definedName>
    <definedName name="duplex_strainer" localSheetId="1">#REF!</definedName>
    <definedName name="duplex_strainer">#REF!</definedName>
    <definedName name="d을지" localSheetId="1">#REF!</definedName>
    <definedName name="d을지">#REF!</definedName>
    <definedName name="E" localSheetId="1">#REF!</definedName>
    <definedName name="E">#REF!</definedName>
    <definedName name="EC" localSheetId="1">#REF!</definedName>
    <definedName name="EC">#REF!</definedName>
    <definedName name="EEE" localSheetId="1" hidden="1">{#N/A,#N/A,FALSE,"Sheet6"}</definedName>
    <definedName name="EEE" hidden="1">{#N/A,#N/A,FALSE,"Sheet6"}</definedName>
    <definedName name="EK" localSheetId="1" hidden="1">#REF!</definedName>
    <definedName name="EK" hidden="1">#REF!</definedName>
    <definedName name="ENCOST">#N/A</definedName>
    <definedName name="EOL" localSheetId="1">#REF!</definedName>
    <definedName name="EOL">#REF!</definedName>
    <definedName name="EQMOB" localSheetId="1">#REF!</definedName>
    <definedName name="EQMOB">#REF!</definedName>
    <definedName name="ETWE" localSheetId="1" hidden="1">{#N/A,#N/A,FALSE,"Sheet6"}</definedName>
    <definedName name="ETWE" hidden="1">{#N/A,#N/A,FALSE,"Sheet6"}</definedName>
    <definedName name="ETWEGF" localSheetId="1" hidden="1">{#N/A,#N/A,FALSE,"Sheet6"}</definedName>
    <definedName name="ETWEGF" hidden="1">{#N/A,#N/A,FALSE,"Sheet6"}</definedName>
    <definedName name="EWTWV" localSheetId="1" hidden="1">{#N/A,#N/A,FALSE,"Sheet6"}</definedName>
    <definedName name="EWTWV" hidden="1">{#N/A,#N/A,FALSE,"Sheet6"}</definedName>
    <definedName name="ex_joint" localSheetId="1">#REF!</definedName>
    <definedName name="ex_joint">#REF!</definedName>
    <definedName name="EXE">#N/A</definedName>
    <definedName name="_xlnm.Extract" localSheetId="1">#REF!</definedName>
    <definedName name="_xlnm.Extract">#REF!</definedName>
    <definedName name="ey">#N/A</definedName>
    <definedName name="F">#N/A</definedName>
    <definedName name="FFF" localSheetId="1" hidden="1">{#N/A,#N/A,FALSE,"교리2"}</definedName>
    <definedName name="FFF" hidden="1">{#N/A,#N/A,FALSE,"교리2"}</definedName>
    <definedName name="fgjft" localSheetId="1" hidden="1">{#N/A,#N/A,FALSE,"Sheet6"}</definedName>
    <definedName name="fgjft" hidden="1">{#N/A,#N/A,FALSE,"Sheet6"}</definedName>
    <definedName name="FLG" localSheetId="1">#REF!</definedName>
    <definedName name="FLG">#REF!</definedName>
    <definedName name="FLG_Orifice" localSheetId="1">#REF!</definedName>
    <definedName name="FLG_Orifice">#REF!</definedName>
    <definedName name="gate" localSheetId="1">#REF!</definedName>
    <definedName name="gate">#REF!</definedName>
    <definedName name="gfjf" localSheetId="1" hidden="1">{#N/A,#N/A,FALSE,"Sheet6"}</definedName>
    <definedName name="gfjf" hidden="1">{#N/A,#N/A,FALSE,"Sheet6"}</definedName>
    <definedName name="GGG">#N/A</definedName>
    <definedName name="ghfj" localSheetId="1" hidden="1">{#N/A,#N/A,FALSE,"Sheet6"}</definedName>
    <definedName name="ghfj" hidden="1">{#N/A,#N/A,FALSE,"Sheet6"}</definedName>
    <definedName name="GHGF" localSheetId="1" hidden="1">{#N/A,#N/A,FALSE,"Sheet6"}</definedName>
    <definedName name="GHGF" hidden="1">{#N/A,#N/A,FALSE,"Sheet6"}</definedName>
    <definedName name="GHTRH" localSheetId="1" hidden="1">{#N/A,#N/A,FALSE,"Sheet6"}</definedName>
    <definedName name="GHTRH" hidden="1">{#N/A,#N/A,FALSE,"Sheet6"}</definedName>
    <definedName name="globe" localSheetId="1">#REF!</definedName>
    <definedName name="globe">#REF!</definedName>
    <definedName name="GSETGS" localSheetId="1" hidden="1">{#N/A,#N/A,FALSE,"Sheet6"}</definedName>
    <definedName name="GSETGS" hidden="1">{#N/A,#N/A,FALSE,"Sheet6"}</definedName>
    <definedName name="guo" localSheetId="1" hidden="1">{#N/A,#N/A,FALSE,"Sheet6"}</definedName>
    <definedName name="guo" hidden="1">{#N/A,#N/A,FALSE,"Sheet6"}</definedName>
    <definedName name="H" localSheetId="1">#REF!</definedName>
    <definedName name="H">#REF!</definedName>
    <definedName name="h.sys" localSheetId="1">#REF!</definedName>
    <definedName name="h.sys">#REF!</definedName>
    <definedName name="hgj" localSheetId="1" hidden="1">{#N/A,#N/A,FALSE,"Sheet6"}</definedName>
    <definedName name="hgj" hidden="1">{#N/A,#N/A,FALSE,"Sheet6"}</definedName>
    <definedName name="hj" localSheetId="1" hidden="1">{#N/A,#N/A,FALSE,"Sheet6"}</definedName>
    <definedName name="hj" hidden="1">{#N/A,#N/A,FALSE,"Sheet6"}</definedName>
    <definedName name="HTML_CodePage" hidden="1">949</definedName>
    <definedName name="HTML_Control" localSheetId="1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i" localSheetId="1">#REF!</definedName>
    <definedName name="i">#REF!</definedName>
    <definedName name="iii" localSheetId="1">#REF!</definedName>
    <definedName name="iii">#REF!</definedName>
    <definedName name="j" localSheetId="1">#REF!</definedName>
    <definedName name="j">#REF!</definedName>
    <definedName name="JJJ" localSheetId="1">#REF!</definedName>
    <definedName name="JJJ">#REF!</definedName>
    <definedName name="k" localSheetId="1">#REF!</definedName>
    <definedName name="k">#REF!</definedName>
    <definedName name="kkkl" localSheetId="1">#REF!</definedName>
    <definedName name="kkkl">#REF!</definedName>
    <definedName name="l" localSheetId="1">#REF!</definedName>
    <definedName name="l">#REF!</definedName>
    <definedName name="LAMP" localSheetId="1">#REF!</definedName>
    <definedName name="LAMP">#REF!</definedName>
    <definedName name="LAST" localSheetId="1">#REF!</definedName>
    <definedName name="LAST">#REF!</definedName>
    <definedName name="lg" localSheetId="1">#REF!</definedName>
    <definedName name="lg">#REF!</definedName>
    <definedName name="LINE1" localSheetId="1">#REF!</definedName>
    <definedName name="LINE1">#REF!</definedName>
    <definedName name="ll" localSheetId="1">#REF!</definedName>
    <definedName name="ll">#REF!</definedName>
    <definedName name="lll" localSheetId="1">#REF!</definedName>
    <definedName name="lll">#REF!</definedName>
    <definedName name="LLLL" localSheetId="1">#REF!</definedName>
    <definedName name="LLLL">#REF!</definedName>
    <definedName name="lllllll" localSheetId="1">#REF!</definedName>
    <definedName name="lllllll">#REF!</definedName>
    <definedName name="lst_GJ" localSheetId="1">#REF!</definedName>
    <definedName name="lst_GJ">#REF!</definedName>
    <definedName name="M" localSheetId="1">#REF!</definedName>
    <definedName name="M">#REF!</definedName>
    <definedName name="Macro1">#N/A</definedName>
    <definedName name="Macro10" localSheetId="1">#REF!</definedName>
    <definedName name="Macro10">#REF!</definedName>
    <definedName name="Macro11" localSheetId="1">#REF!</definedName>
    <definedName name="Macro11">#REF!</definedName>
    <definedName name="Macro12" localSheetId="1">#REF!</definedName>
    <definedName name="Macro12">#REF!</definedName>
    <definedName name="Macro13" localSheetId="1">#REF!</definedName>
    <definedName name="Macro13">#REF!</definedName>
    <definedName name="Macro14" localSheetId="1">#REF!</definedName>
    <definedName name="Macro14">#REF!</definedName>
    <definedName name="Macro15" localSheetId="1">#REF!</definedName>
    <definedName name="Macro15">#REF!</definedName>
    <definedName name="Macro16" localSheetId="1">#REF!</definedName>
    <definedName name="Macro16">#REF!</definedName>
    <definedName name="Macro4">#N/A</definedName>
    <definedName name="Macro5" localSheetId="1">#REF!</definedName>
    <definedName name="Macro5">#REF!</definedName>
    <definedName name="Macro6" localSheetId="1">#REF!</definedName>
    <definedName name="Macro6">#REF!</definedName>
    <definedName name="Macro7" localSheetId="1">#REF!</definedName>
    <definedName name="Macro7">#REF!</definedName>
    <definedName name="Macro8" localSheetId="1">#REF!</definedName>
    <definedName name="Macro8">#REF!</definedName>
    <definedName name="Macro9" localSheetId="1">#REF!</definedName>
    <definedName name="Macro9">#REF!</definedName>
    <definedName name="MHL175W" localSheetId="1">#REF!</definedName>
    <definedName name="MHL175W">#REF!</definedName>
    <definedName name="MHL250W" localSheetId="1">#REF!</definedName>
    <definedName name="MHL250W">#REF!</definedName>
    <definedName name="MHL400W" localSheetId="1">#REF!</definedName>
    <definedName name="MHL400W">#REF!</definedName>
    <definedName name="mn" localSheetId="1">#REF!</definedName>
    <definedName name="mn">#REF!</definedName>
    <definedName name="MPMOB" localSheetId="1">#REF!</definedName>
    <definedName name="MPMOB">#REF!</definedName>
    <definedName name="N">#N/A</definedName>
    <definedName name="NA" localSheetId="1">#REF!</definedName>
    <definedName name="NA">#REF!</definedName>
    <definedName name="NAK">#N/A</definedName>
    <definedName name="needle" localSheetId="1">#REF!</definedName>
    <definedName name="needle">#REF!</definedName>
    <definedName name="NEWNAME" localSheetId="1" hidden="1">{#N/A,#N/A,FALSE,"CCTV"}</definedName>
    <definedName name="NEWNAME" hidden="1">{#N/A,#N/A,FALSE,"CCTV"}</definedName>
    <definedName name="NIPP" localSheetId="1">#REF!</definedName>
    <definedName name="NIPP">#REF!</definedName>
    <definedName name="NO">#N/A</definedName>
    <definedName name="NOMU" localSheetId="1">#REF!</definedName>
    <definedName name="NOMU">#REF!</definedName>
    <definedName name="NS" localSheetId="1">#REF!</definedName>
    <definedName name="NS">#REF!</definedName>
    <definedName name="O" localSheetId="1">#REF!</definedName>
    <definedName name="O">#REF!</definedName>
    <definedName name="pai" localSheetId="1">#REF!</definedName>
    <definedName name="pai">#REF!</definedName>
    <definedName name="PIPE" localSheetId="1">#REF!</definedName>
    <definedName name="PIPE">#REF!</definedName>
    <definedName name="PJT">#N/A</definedName>
    <definedName name="PLANT_JE_GWAN_GONG" localSheetId="1">#REF!</definedName>
    <definedName name="PLANT_JE_GWAN_GONG">#REF!</definedName>
    <definedName name="PLUG" localSheetId="1">#REF!</definedName>
    <definedName name="PLUG">#REF!</definedName>
    <definedName name="pound" localSheetId="1">#REF!</definedName>
    <definedName name="pound">#REF!</definedName>
    <definedName name="PPP" localSheetId="1">#REF!</definedName>
    <definedName name="PPP">#REF!</definedName>
    <definedName name="_xlnm.Print_Area" localSheetId="0">견적서!$A$1:$I$28</definedName>
    <definedName name="_xlnm.Print_Area" localSheetId="1">내역서!$H$1:$T$31</definedName>
    <definedName name="_xlnm.Print_Area">#REF!</definedName>
    <definedName name="Print_Area_MI" localSheetId="1">#REF!</definedName>
    <definedName name="Print_Area_MI">#REF!</definedName>
    <definedName name="PRINT_TITLE" localSheetId="1">#REF!</definedName>
    <definedName name="PRINT_TITLE">#REF!</definedName>
    <definedName name="_xlnm.Print_Titles">#REF!</definedName>
    <definedName name="PRINT_TITLES_MI" localSheetId="1">#REF!</definedName>
    <definedName name="PRINT_TITLES_MI">#REF!</definedName>
    <definedName name="PROJECT">#N/A</definedName>
    <definedName name="ptint_titles" localSheetId="1">#REF!</definedName>
    <definedName name="ptint_titles">#REF!</definedName>
    <definedName name="PY" localSheetId="1">#REF!</definedName>
    <definedName name="PY">#REF!</definedName>
    <definedName name="Q" localSheetId="1">#REF!</definedName>
    <definedName name="Q">#REF!</definedName>
    <definedName name="qq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_" localSheetId="1">#REF!</definedName>
    <definedName name="R_">#REF!</definedName>
    <definedName name="RE_SIZE" localSheetId="1">#REF!</definedName>
    <definedName name="RE_SIZE">#REF!</definedName>
    <definedName name="_xlnm.Recorder" localSheetId="1">#REF!</definedName>
    <definedName name="_xlnm.Recorder">#REF!</definedName>
    <definedName name="RED" localSheetId="1">#REF!</definedName>
    <definedName name="RED">#REF!</definedName>
    <definedName name="REM">#N/A</definedName>
    <definedName name="REMK">#N/A</definedName>
    <definedName name="RKQWL" localSheetId="1">#REF!</definedName>
    <definedName name="RKQWL">#REF!</definedName>
    <definedName name="RRRRR" localSheetId="1">#REF!</definedName>
    <definedName name="RRRRR">#REF!</definedName>
    <definedName name="S" localSheetId="1">#REF!</definedName>
    <definedName name="S">#REF!</definedName>
    <definedName name="SDGASD">#N/A</definedName>
    <definedName name="sdsss" localSheetId="1">#REF!</definedName>
    <definedName name="sdsss">#REF!</definedName>
    <definedName name="SELECT">#N/A</definedName>
    <definedName name="SEQU">#N/A</definedName>
    <definedName name="SEXP">#N/A</definedName>
    <definedName name="SIZE" localSheetId="1">#REF!</definedName>
    <definedName name="SIZE">#REF!</definedName>
    <definedName name="SIZEC" localSheetId="1">#REF!</definedName>
    <definedName name="SIZEC">#REF!</definedName>
    <definedName name="SLAB">#N/A</definedName>
    <definedName name="SMAT">#N/A</definedName>
    <definedName name="SMHR">#N/A</definedName>
    <definedName name="SOL" localSheetId="1">#REF!</definedName>
    <definedName name="SOL">#REF!</definedName>
    <definedName name="sp.sys" localSheetId="1">#REF!</definedName>
    <definedName name="sp.sys">#REF!</definedName>
    <definedName name="SSS" localSheetId="1">#REF!</definedName>
    <definedName name="SSS">#REF!</definedName>
    <definedName name="steam_trap" localSheetId="1">#REF!</definedName>
    <definedName name="steam_trap">#REF!</definedName>
    <definedName name="SUYO">#N/A</definedName>
    <definedName name="T" localSheetId="1">#REF!</definedName>
    <definedName name="T">#REF!</definedName>
    <definedName name="T0" localSheetId="1">#REF!</definedName>
    <definedName name="T0">#REF!</definedName>
    <definedName name="tc" localSheetId="1">#REF!</definedName>
    <definedName name="tc">#REF!</definedName>
    <definedName name="tdrutru" localSheetId="1" hidden="1">{#N/A,#N/A,FALSE,"Sheet6"}</definedName>
    <definedName name="tdrutru" hidden="1">{#N/A,#N/A,FALSE,"Sheet6"}</definedName>
    <definedName name="TEE" localSheetId="1">#REF!</definedName>
    <definedName name="TEE">#REF!</definedName>
    <definedName name="temp_strainer" localSheetId="1">#REF!</definedName>
    <definedName name="temp_strainer">#REF!</definedName>
    <definedName name="TEST" localSheetId="1">#REF!</definedName>
    <definedName name="TEST">#REF!</definedName>
    <definedName name="THK" localSheetId="1">#REF!</definedName>
    <definedName name="THK">#REF!</definedName>
    <definedName name="TIT" localSheetId="1">#REF!</definedName>
    <definedName name="TIT">#REF!</definedName>
    <definedName name="TITLE" localSheetId="1">#REF!</definedName>
    <definedName name="TITLE">#REF!</definedName>
    <definedName name="TITLE1" localSheetId="1">#REF!</definedName>
    <definedName name="TITLE1">#REF!</definedName>
    <definedName name="TO" localSheetId="1">#REF!</definedName>
    <definedName name="TO">#REF!</definedName>
    <definedName name="TOL" localSheetId="1">#REF!</definedName>
    <definedName name="TOL">#REF!</definedName>
    <definedName name="TOO">#N/A</definedName>
    <definedName name="TOTAL">#N/A</definedName>
    <definedName name="TRHEE" localSheetId="1" hidden="1">{#N/A,#N/A,FALSE,"Sheet6"}</definedName>
    <definedName name="TRHEE" hidden="1">{#N/A,#N/A,FALSE,"Sheet6"}</definedName>
    <definedName name="trhr" localSheetId="1" hidden="1">{#N/A,#N/A,FALSE,"Sheet6"}</definedName>
    <definedName name="trhr" hidden="1">{#N/A,#N/A,FALSE,"Sheet6"}</definedName>
    <definedName name="TT" localSheetId="1">ROUND(#REF!*#REF!,0)</definedName>
    <definedName name="TT">ROUND(#REF!*#REF!,0)</definedName>
    <definedName name="ttr" localSheetId="1" hidden="1">{#N/A,#N/A,FALSE,"Sheet6"}</definedName>
    <definedName name="ttr" hidden="1">{#N/A,#N/A,FALSE,"Sheet6"}</definedName>
    <definedName name="tyiutyui" localSheetId="1" hidden="1">{#N/A,#N/A,FALSE,"Sheet6"}</definedName>
    <definedName name="tyiutyui" hidden="1">{#N/A,#N/A,FALSE,"Sheet6"}</definedName>
    <definedName name="U19042704" localSheetId="1">#REF!</definedName>
    <definedName name="U19042704">#REF!</definedName>
    <definedName name="UNION" localSheetId="1">#REF!</definedName>
    <definedName name="UNION">#REF!</definedName>
    <definedName name="UNIT">#N/A</definedName>
    <definedName name="V" localSheetId="1">#REF!</definedName>
    <definedName name="V">#REF!</definedName>
    <definedName name="vbnhj" localSheetId="1" hidden="1">{#N/A,#N/A,FALSE,"Sheet6"}</definedName>
    <definedName name="vbnhj" hidden="1">{#N/A,#N/A,FALSE,"Sheet6"}</definedName>
    <definedName name="w" localSheetId="1">#REF!</definedName>
    <definedName name="w">#REF!</definedName>
    <definedName name="wkqcjf" localSheetId="1">#REF!</definedName>
    <definedName name="wkqcjf">#REF!</definedName>
    <definedName name="WOL" localSheetId="1">#REF!</definedName>
    <definedName name="WOL">#REF!</definedName>
    <definedName name="WRITE" localSheetId="1" hidden="1">{#N/A,#N/A,FALSE,"CCTV"}</definedName>
    <definedName name="WRITE" hidden="1">{#N/A,#N/A,FALSE,"CCTV"}</definedName>
    <definedName name="wrn.0812ESC.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34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c30prn." localSheetId="1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1" hidden="1">{#N/A,#N/A,FALSE,"CCTV"}</definedName>
    <definedName name="wrn.BM." hidden="1">{#N/A,#N/A,FALSE,"CCTV"}</definedName>
    <definedName name="wrn.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1" hidden="1">{#N/A,#N/A,FALSE,"교리2"}</definedName>
    <definedName name="wrn.고희석." hidden="1">{#N/A,#N/A,FALSE,"교리2"}</definedName>
    <definedName name="wrn.기성." localSheetId="1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1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변경예산." localSheetId="1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1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1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1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집기비품보고서._.품목별._.및._.현장별._.집계표." localSheetId="1" hidden="1">{#N/A,#N/A,FALSE,"Sheet6"}</definedName>
    <definedName name="wrn.집기비품보고서._.품목별._.및._.현장별._.집계표." hidden="1">{#N/A,#N/A,FALSE,"Sheet6"}</definedName>
    <definedName name="wrn.철골집계표._.5칸." localSheetId="1" hidden="1">{#N/A,#N/A,FALSE,"Sheet1"}</definedName>
    <definedName name="wrn.철골집계표._.5칸." hidden="1">{#N/A,#N/A,FALSE,"Sheet1"}</definedName>
    <definedName name="wwww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1">#REF!</definedName>
    <definedName name="X">#REF!</definedName>
    <definedName name="XCB" localSheetId="1" hidden="1">{#N/A,#N/A,FALSE,"Sheet6"}</definedName>
    <definedName name="XCB" hidden="1">{#N/A,#N/A,FALSE,"Sheet6"}</definedName>
    <definedName name="xf" localSheetId="1" hidden="1">{#N/A,#N/A,FALSE,"Sheet6"}</definedName>
    <definedName name="xf" hidden="1">{#N/A,#N/A,FALSE,"Sheet6"}</definedName>
    <definedName name="Y.S.KIM" localSheetId="1">#REF!,#REF!,#REF!,#REF!,#REF!,#REF!,#REF!,#REF!,#REF!,#REF!,#REF!,#REF!,#REF!,#REF!,#REF!,#REF!,#REF!,#REF!,#REF!</definedName>
    <definedName name="Y.S.KIM">#REF!,#REF!,#REF!,#REF!,#REF!,#REF!,#REF!,#REF!,#REF!,#REF!,#REF!,#REF!,#REF!,#REF!,#REF!,#REF!,#REF!,#REF!,#REF!</definedName>
    <definedName name="y_strainer" localSheetId="1">#REF!</definedName>
    <definedName name="y_strainer">#REF!</definedName>
    <definedName name="YE">#N/A</definedName>
    <definedName name="YEKA">#N/A</definedName>
    <definedName name="yoo10" localSheetId="1">#REF!</definedName>
    <definedName name="yoo10">#REF!</definedName>
    <definedName name="yoo2" localSheetId="1">#REF!</definedName>
    <definedName name="yoo2">#REF!</definedName>
    <definedName name="yoo3" localSheetId="1">#REF!</definedName>
    <definedName name="yoo3">#REF!</definedName>
    <definedName name="yoo4" localSheetId="1">#REF!</definedName>
    <definedName name="yoo4">#REF!</definedName>
    <definedName name="yoo8" localSheetId="1">#REF!</definedName>
    <definedName name="yoo8">#REF!</definedName>
    <definedName name="yu" localSheetId="1" hidden="1">{#N/A,#N/A,FALSE,"Sheet6"}</definedName>
    <definedName name="yu" hidden="1">{#N/A,#N/A,FALSE,"Sheet6"}</definedName>
    <definedName name="YUTY" localSheetId="1" hidden="1">{#N/A,#N/A,FALSE,"Sheet6"}</definedName>
    <definedName name="YUTY" hidden="1">{#N/A,#N/A,FALSE,"Sheet6"}</definedName>
    <definedName name="YYY" localSheetId="1">#REF!</definedName>
    <definedName name="YYY">#REF!</definedName>
    <definedName name="Z" localSheetId="1">#REF!</definedName>
    <definedName name="Z">#REF!</definedName>
    <definedName name="zz" localSheetId="1">#REF!</definedName>
    <definedName name="zz">#REF!</definedName>
    <definedName name="ㄱㄱㄱㄱㄱ" localSheetId="1" hidden="1">{#N/A,#N/A,FALSE,"교리2"}</definedName>
    <definedName name="ㄱㄱㄱㄱㄱ" hidden="1">{#N/A,#N/A,FALSE,"교리2"}</definedName>
    <definedName name="ㄱㄱㄱㅎ" localSheetId="1" hidden="1">{#N/A,#N/A,FALSE,"Sheet6"}</definedName>
    <definedName name="ㄱㄱㄱㅎ" hidden="1">{#N/A,#N/A,FALSE,"Sheet6"}</definedName>
    <definedName name="ㄱㄷㄱ" localSheetId="1" hidden="1">{#N/A,#N/A,FALSE,"Sheet6"}</definedName>
    <definedName name="ㄱㄷㄱ" hidden="1">{#N/A,#N/A,FALSE,"Sheet6"}</definedName>
    <definedName name="ㄱㄷㅅ" localSheetId="1" hidden="1">{#N/A,#N/A,FALSE,"Sheet6"}</definedName>
    <definedName name="ㄱㄷㅅ" hidden="1">{#N/A,#N/A,FALSE,"Sheet6"}</definedName>
    <definedName name="ㄱㄹ홍ㄱ호" localSheetId="1" hidden="1">{#N/A,#N/A,FALSE,"Sheet6"}</definedName>
    <definedName name="ㄱㄹ홍ㄱ호" hidden="1">{#N/A,#N/A,FALSE,"Sheet6"}</definedName>
    <definedName name="ㄱ쇽" localSheetId="1" hidden="1">{#N/A,#N/A,FALSE,"Sheet6"}</definedName>
    <definedName name="ㄱ쇽" hidden="1">{#N/A,#N/A,FALSE,"Sheet6"}</definedName>
    <definedName name="가.건축공사">#N/A</definedName>
    <definedName name="가.공원시설물공">#N/A</definedName>
    <definedName name="가건물손료" localSheetId="1">#REF!</definedName>
    <definedName name="가건물손료">#REF!</definedName>
    <definedName name="가구" localSheetId="1">#REF!</definedName>
    <definedName name="가구">#REF!</definedName>
    <definedName name="가설" localSheetId="1">#REF!</definedName>
    <definedName name="가설">#REF!</definedName>
    <definedName name="가설건물면적" localSheetId="1">#REF!</definedName>
    <definedName name="가설건물면적">#REF!</definedName>
    <definedName name="가시나무R4" localSheetId="1">#REF!</definedName>
    <definedName name="가시나무R4">#REF!</definedName>
    <definedName name="가시나무R5" localSheetId="1">#REF!</definedName>
    <definedName name="가시나무R5">#REF!</definedName>
    <definedName name="가시나무R6" localSheetId="1">#REF!</definedName>
    <definedName name="가시나무R6">#REF!</definedName>
    <definedName name="가시나무R8" localSheetId="1">#REF!</definedName>
    <definedName name="가시나무R8">#REF!</definedName>
    <definedName name="가이즈까향1204" localSheetId="1">#REF!</definedName>
    <definedName name="가이즈까향1204">#REF!</definedName>
    <definedName name="가이즈까향1505" localSheetId="1">#REF!</definedName>
    <definedName name="가이즈까향1505">#REF!</definedName>
    <definedName name="가이즈까향2006" localSheetId="1">#REF!</definedName>
    <definedName name="가이즈까향2006">#REF!</definedName>
    <definedName name="가이즈까향2008" localSheetId="1">#REF!</definedName>
    <definedName name="가이즈까향2008">#REF!</definedName>
    <definedName name="가이즈까향2510" localSheetId="1">#REF!</definedName>
    <definedName name="가이즈까향2510">#REF!</definedName>
    <definedName name="가중나무B10" localSheetId="1">#REF!</definedName>
    <definedName name="가중나무B10">#REF!</definedName>
    <definedName name="가중나무B4" localSheetId="1">#REF!</definedName>
    <definedName name="가중나무B4">#REF!</definedName>
    <definedName name="가중나무B5" localSheetId="1">#REF!</definedName>
    <definedName name="가중나무B5">#REF!</definedName>
    <definedName name="가중나무B6" localSheetId="1">#REF!</definedName>
    <definedName name="가중나무B6">#REF!</definedName>
    <definedName name="가중나무B8" localSheetId="1">#REF!</definedName>
    <definedName name="가중나무B8">#REF!</definedName>
    <definedName name="간노" localSheetId="1">#REF!</definedName>
    <definedName name="간노">#REF!</definedName>
    <definedName name="간접" localSheetId="1">#REF!</definedName>
    <definedName name="간접">#REF!</definedName>
    <definedName name="간접율" localSheetId="1">#REF!</definedName>
    <definedName name="간접율">#REF!</definedName>
    <definedName name="감R10" localSheetId="1">#REF!</definedName>
    <definedName name="감R10">#REF!</definedName>
    <definedName name="감R12" localSheetId="1">#REF!</definedName>
    <definedName name="감R12">#REF!</definedName>
    <definedName name="감R15" localSheetId="1">#REF!</definedName>
    <definedName name="감R15">#REF!</definedName>
    <definedName name="감R5" localSheetId="1">#REF!</definedName>
    <definedName name="감R5">#REF!</definedName>
    <definedName name="감R6" localSheetId="1">#REF!</definedName>
    <definedName name="감R6">#REF!</definedName>
    <definedName name="감R7" localSheetId="1">#REF!</definedName>
    <definedName name="감R7">#REF!</definedName>
    <definedName name="감R8" localSheetId="1">#REF!</definedName>
    <definedName name="감R8">#REF!</definedName>
    <definedName name="감복만" localSheetId="1" hidden="1">{#N/A,#N/A,FALSE,"교리2"}</definedName>
    <definedName name="감복만" hidden="1">{#N/A,#N/A,FALSE,"교리2"}</definedName>
    <definedName name="감승주" localSheetId="1" hidden="1">{#N/A,#N/A,FALSE,"교리2"}</definedName>
    <definedName name="감승주" hidden="1">{#N/A,#N/A,FALSE,"교리2"}</definedName>
    <definedName name="갑지" localSheetId="1" hidden="1">#REF!</definedName>
    <definedName name="갑지" hidden="1">#REF!</definedName>
    <definedName name="갑지02" localSheetId="1" hidden="1">{#N/A,#N/A,FALSE,"Sheet6"}</definedName>
    <definedName name="갑지02" hidden="1">{#N/A,#N/A,FALSE,"Sheet6"}</definedName>
    <definedName name="갑지외" hidden="1">{#N/A,#N/A,FALSE,"CCTV"}</definedName>
    <definedName name="개나리12" localSheetId="1">#REF!</definedName>
    <definedName name="개나리12">#REF!</definedName>
    <definedName name="개나리3" localSheetId="1">#REF!</definedName>
    <definedName name="개나리3">#REF!</definedName>
    <definedName name="개나리5" localSheetId="1">#REF!</definedName>
    <definedName name="개나리5">#REF!</definedName>
    <definedName name="개나리7" localSheetId="1">#REF!</definedName>
    <definedName name="개나리7">#REF!</definedName>
    <definedName name="개나리9" localSheetId="1">#REF!</definedName>
    <definedName name="개나리9">#REF!</definedName>
    <definedName name="개쉬땅1204" localSheetId="1">#REF!</definedName>
    <definedName name="개쉬땅1204">#REF!</definedName>
    <definedName name="개쉬땅1506" localSheetId="1">#REF!</definedName>
    <definedName name="개쉬땅1506">#REF!</definedName>
    <definedName name="건축" localSheetId="1">#REF!</definedName>
    <definedName name="건축">#REF!</definedName>
    <definedName name="건축면적" localSheetId="1">#REF!</definedName>
    <definedName name="건축면적">#REF!</definedName>
    <definedName name="견적" localSheetId="1">#REF!</definedName>
    <definedName name="견적">#REF!</definedName>
    <definedName name="견적3" localSheetId="1" hidden="1">{#N/A,#N/A,FALSE,"Sheet6"}</definedName>
    <definedName name="견적3" hidden="1">{#N/A,#N/A,FALSE,"Sheet6"}</definedName>
    <definedName name="견적갑" localSheetId="1">#REF!</definedName>
    <definedName name="견적갑">#REF!</definedName>
    <definedName name="견적제출보고서" localSheetId="1">#REF!</definedName>
    <definedName name="견적제출보고서">#REF!</definedName>
    <definedName name="견적협력업체3" localSheetId="1">#REF!,#REF!,#REF!,#REF!,#REF!,#REF!,#REF!,#REF!,#REF!,#REF!,#REF!,#REF!,#REF!,#REF!,#REF!,#REF!,#REF!,#REF!,#REF!</definedName>
    <definedName name="견적협력업체3">#REF!,#REF!,#REF!,#REF!,#REF!,#REF!,#REF!,#REF!,#REF!,#REF!,#REF!,#REF!,#REF!,#REF!,#REF!,#REF!,#REF!,#REF!,#REF!</definedName>
    <definedName name="겹동백1002" localSheetId="1">#REF!</definedName>
    <definedName name="겹동백1002">#REF!</definedName>
    <definedName name="겹동백1204" localSheetId="1">#REF!</definedName>
    <definedName name="겹동백1204">#REF!</definedName>
    <definedName name="겹동백1506" localSheetId="1">#REF!</definedName>
    <definedName name="겹동백1506">#REF!</definedName>
    <definedName name="겹벗R6" localSheetId="1">#REF!</definedName>
    <definedName name="겹벗R6">#REF!</definedName>
    <definedName name="겹벗R8" localSheetId="1">#REF!</definedName>
    <definedName name="겹벗R8">#REF!</definedName>
    <definedName name="겹철쭉0304" localSheetId="1">#REF!</definedName>
    <definedName name="겹철쭉0304">#REF!</definedName>
    <definedName name="겹철쭉0506" localSheetId="1">#REF!</definedName>
    <definedName name="겹철쭉0506">#REF!</definedName>
    <definedName name="겹철쭉0608" localSheetId="1">#REF!</definedName>
    <definedName name="겹철쭉0608">#REF!</definedName>
    <definedName name="겹철쭉0810" localSheetId="1">#REF!</definedName>
    <definedName name="겹철쭉0810">#REF!</definedName>
    <definedName name="겹철쭉0812" localSheetId="1">#REF!</definedName>
    <definedName name="겹철쭉0812">#REF!</definedName>
    <definedName name="경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과년수" localSheetId="1">#REF!</definedName>
    <definedName name="경과년수">#REF!</definedName>
    <definedName name="경량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" localSheetId="1">#REF!</definedName>
    <definedName name="경비">#REF!</definedName>
    <definedName name="경비율" localSheetId="1">#REF!</definedName>
    <definedName name="경비율">#REF!</definedName>
    <definedName name="경수" localSheetId="1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B5" localSheetId="1">#REF!</definedName>
    <definedName name="계수B5">#REF!</definedName>
    <definedName name="계수B6" localSheetId="1">#REF!</definedName>
    <definedName name="계수B6">#REF!</definedName>
    <definedName name="계수B8" localSheetId="1">#REF!</definedName>
    <definedName name="계수B8">#REF!</definedName>
    <definedName name="고광3" localSheetId="1">#REF!</definedName>
    <definedName name="고광3">#REF!</definedName>
    <definedName name="고광5" localSheetId="1">#REF!</definedName>
    <definedName name="고광5">#REF!</definedName>
    <definedName name="고용" localSheetId="1">#REF!</definedName>
    <definedName name="고용">#REF!</definedName>
    <definedName name="곧ㄱ" localSheetId="1" hidden="1">{#N/A,#N/A,FALSE,"Sheet6"}</definedName>
    <definedName name="곧ㄱ" hidden="1">{#N/A,#N/A,FALSE,"Sheet6"}</definedName>
    <definedName name="골간접" localSheetId="1">#REF!</definedName>
    <definedName name="골간접">#REF!</definedName>
    <definedName name="골건설" localSheetId="1">#REF!</definedName>
    <definedName name="골건설">#REF!</definedName>
    <definedName name="골경비" localSheetId="1">#REF!</definedName>
    <definedName name="골경비">#REF!</definedName>
    <definedName name="골관리" localSheetId="1">#REF!</definedName>
    <definedName name="골관리">#REF!</definedName>
    <definedName name="골보험" localSheetId="1">#REF!</definedName>
    <definedName name="골보험">#REF!</definedName>
    <definedName name="골부가" localSheetId="1">#REF!</definedName>
    <definedName name="골부가">#REF!</definedName>
    <definedName name="골안전" localSheetId="1">#REF!</definedName>
    <definedName name="골안전">#REF!</definedName>
    <definedName name="골이윤" localSheetId="1">#REF!</definedName>
    <definedName name="골이윤">#REF!</definedName>
    <definedName name="골조" localSheetId="1">#REF!</definedName>
    <definedName name="골조">#REF!</definedName>
    <definedName name="곰솔2508" localSheetId="1">#REF!</definedName>
    <definedName name="곰솔2508">#REF!</definedName>
    <definedName name="곰솔3010" localSheetId="1">#REF!</definedName>
    <definedName name="곰솔3010">#REF!</definedName>
    <definedName name="곰솔R10" localSheetId="1">#REF!</definedName>
    <definedName name="곰솔R10">#REF!</definedName>
    <definedName name="곰솔R12" localSheetId="1">#REF!</definedName>
    <definedName name="곰솔R12">#REF!</definedName>
    <definedName name="곰솔R15" localSheetId="1">#REF!</definedName>
    <definedName name="곰솔R15">#REF!</definedName>
    <definedName name="공" localSheetId="1">#REF!</definedName>
    <definedName name="공">#REF!</definedName>
    <definedName name="공기" localSheetId="1">#REF!</definedName>
    <definedName name="공기">#REF!</definedName>
    <definedName name="공내역ㅇ" localSheetId="1" hidden="1">{#N/A,#N/A,FALSE,"Sheet6"}</definedName>
    <definedName name="공내역ㅇ" hidden="1">{#N/A,#N/A,FALSE,"Sheet6"}</definedName>
    <definedName name="공문" localSheetId="1">#REF!</definedName>
    <definedName name="공문">#REF!</definedName>
    <definedName name="공보" localSheetId="1">#REF!</definedName>
    <definedName name="공보">#REF!</definedName>
    <definedName name="공사">#N/A</definedName>
    <definedName name="공사보험율" localSheetId="1">#REF!</definedName>
    <definedName name="공사보험율">#REF!</definedName>
    <definedName name="공사비집" localSheetId="1">#REF!</definedName>
    <definedName name="공사비집">#REF!</definedName>
    <definedName name="공사어음기간" localSheetId="1">#REF!</definedName>
    <definedName name="공사어음기간">#REF!</definedName>
    <definedName name="공사어음비율" localSheetId="1">#REF!</definedName>
    <definedName name="공사어음비율">#REF!</definedName>
    <definedName name="공사현금비율" localSheetId="1">#REF!</definedName>
    <definedName name="공사현금비율">#REF!</definedName>
    <definedName name="공양식" localSheetId="1" hidden="1">{#N/A,#N/A,FALSE,"교리2"}</definedName>
    <definedName name="공양식" hidden="1">{#N/A,#N/A,FALSE,"교리2"}</definedName>
    <definedName name="공원식재공">#N/A</definedName>
    <definedName name="공일" localSheetId="1">#REF!</definedName>
    <definedName name="공일">#REF!</definedName>
    <definedName name="공정수량" localSheetId="1">#REF!</definedName>
    <definedName name="공정수량">#REF!</definedName>
    <definedName name="공정집계" localSheetId="1">#REF!</definedName>
    <definedName name="공정집계">#REF!</definedName>
    <definedName name="공통가설" localSheetId="1">#REF!</definedName>
    <definedName name="공통가설">#REF!</definedName>
    <definedName name="관로공사" localSheetId="1">#REF!</definedName>
    <definedName name="관로공사">#REF!</definedName>
    <definedName name="관리율" localSheetId="1">#REF!</definedName>
    <definedName name="관리율">#REF!</definedName>
    <definedName name="광나무1003" localSheetId="1">#REF!</definedName>
    <definedName name="광나무1003">#REF!</definedName>
    <definedName name="광나무1203" localSheetId="1">#REF!</definedName>
    <definedName name="광나무1203">#REF!</definedName>
    <definedName name="광나무1506" localSheetId="1">#REF!</definedName>
    <definedName name="광나무1506">#REF!</definedName>
    <definedName name="광편백0405" localSheetId="1">#REF!</definedName>
    <definedName name="광편백0405">#REF!</definedName>
    <definedName name="광편백0507" localSheetId="1">#REF!</definedName>
    <definedName name="광편백0507">#REF!</definedName>
    <definedName name="광편백0509" localSheetId="1">#REF!</definedName>
    <definedName name="광편백0509">#REF!</definedName>
    <definedName name="교통" localSheetId="1">#REF!</definedName>
    <definedName name="교통">#REF!</definedName>
    <definedName name="굗ㄱ" localSheetId="1" hidden="1">{#N/A,#N/A,FALSE,"Sheet6"}</definedName>
    <definedName name="굗ㄱ" hidden="1">{#N/A,#N/A,FALSE,"Sheet6"}</definedName>
    <definedName name="구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______분">#N/A</definedName>
    <definedName name="구본" localSheetId="1" hidden="1">{#N/A,#N/A,FALSE,"Sheet6"}</definedName>
    <definedName name="구본" hidden="1">{#N/A,#N/A,FALSE,"Sheet6"}</definedName>
    <definedName name="구상나무1505" localSheetId="1">#REF!</definedName>
    <definedName name="구상나무1505">#REF!</definedName>
    <definedName name="구상나무2008" localSheetId="1">#REF!</definedName>
    <definedName name="구상나무2008">#REF!</definedName>
    <definedName name="구상나무2510" localSheetId="1">#REF!</definedName>
    <definedName name="구상나무2510">#REF!</definedName>
    <definedName name="구상나무3012" localSheetId="1">#REF!</definedName>
    <definedName name="구상나무3012">#REF!</definedName>
    <definedName name="구자관" localSheetId="1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굴취보통인부" localSheetId="1">#REF!</definedName>
    <definedName name="굴취보통인부">#REF!</definedName>
    <definedName name="굴취조경공" localSheetId="1">#REF!</definedName>
    <definedName name="굴취조경공">#REF!</definedName>
    <definedName name="규_______">#N/A</definedName>
    <definedName name="규격" localSheetId="1">#REF!</definedName>
    <definedName name="규격">#REF!</definedName>
    <definedName name="그레이더">350000</definedName>
    <definedName name="근원경" localSheetId="1">#REF!</definedName>
    <definedName name="근원경">#REF!</definedName>
    <definedName name="금송1006" localSheetId="1">#REF!</definedName>
    <definedName name="금송1006">#REF!</definedName>
    <definedName name="금송1208" localSheetId="1">#REF!</definedName>
    <definedName name="금송1208">#REF!</definedName>
    <definedName name="금송1510" localSheetId="1">#REF!</definedName>
    <definedName name="금송1510">#REF!</definedName>
    <definedName name="기성어음금액" localSheetId="1">#REF!</definedName>
    <definedName name="기성어음금액">#REF!</definedName>
    <definedName name="기성어음기간" localSheetId="1">#REF!</definedName>
    <definedName name="기성어음기간">#REF!</definedName>
    <definedName name="기성어음비율" localSheetId="1">#REF!</definedName>
    <definedName name="기성어음비율">#REF!</definedName>
    <definedName name="기성지급시기" localSheetId="1">#REF!</definedName>
    <definedName name="기성지급시기">#REF!</definedName>
    <definedName name="기성현금금액" localSheetId="1">#REF!</definedName>
    <definedName name="기성현금금액">#REF!</definedName>
    <definedName name="기성현금비율" localSheetId="1">#REF!</definedName>
    <definedName name="기성현금비율">#REF!</definedName>
    <definedName name="기안" localSheetId="1">#REF!</definedName>
    <definedName name="기안">#REF!</definedName>
    <definedName name="기조일위대가">#N/A</definedName>
    <definedName name="기초일위대가">#N/A</definedName>
    <definedName name="기타" localSheetId="1">#REF!</definedName>
    <definedName name="기타">#REF!</definedName>
    <definedName name="길화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1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봉만" localSheetId="1" hidden="1">{#N/A,#N/A,FALSE,"교리2"}</definedName>
    <definedName name="김봉만" hidden="1">{#N/A,#N/A,FALSE,"교리2"}</definedName>
    <definedName name="김성혁" localSheetId="1">#REF!,#REF!,#REF!,#REF!,#REF!,#REF!,#REF!,#REF!,#REF!,#REF!,#REF!,#REF!,#REF!,#REF!</definedName>
    <definedName name="김성혁">#REF!,#REF!,#REF!,#REF!,#REF!,#REF!,#REF!,#REF!,#REF!,#REF!,#REF!,#REF!,#REF!,#REF!</definedName>
    <definedName name="김승주" localSheetId="1" hidden="1">{#N/A,#N/A,FALSE,"교리2"}</definedName>
    <definedName name="김승주" hidden="1">{#N/A,#N/A,FALSE,"교리2"}</definedName>
    <definedName name="김양석" localSheetId="1">#REF!,#REF!,#REF!,#REF!,#REF!,#REF!,#REF!,#REF!,#REF!,#REF!,#REF!,#REF!,#REF!,#REF!,#REF!,#REF!,#REF!,#REF!,#REF!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꽃복숭아R3" localSheetId="1">#REF!</definedName>
    <definedName name="꽃복숭아R3">#REF!</definedName>
    <definedName name="꽃복숭아R4" localSheetId="1">#REF!</definedName>
    <definedName name="꽃복숭아R4">#REF!</definedName>
    <definedName name="꽃복숭아R5" localSheetId="1">#REF!</definedName>
    <definedName name="꽃복숭아R5">#REF!</definedName>
    <definedName name="꽃사과R10" localSheetId="1">#REF!</definedName>
    <definedName name="꽃사과R10">#REF!</definedName>
    <definedName name="꽃사과R4" localSheetId="1">#REF!</definedName>
    <definedName name="꽃사과R4">#REF!</definedName>
    <definedName name="꽃사과R6" localSheetId="1">#REF!</definedName>
    <definedName name="꽃사과R6">#REF!</definedName>
    <definedName name="꽃사과R8" localSheetId="1">#REF!</definedName>
    <definedName name="꽃사과R8">#REF!</definedName>
    <definedName name="꽃아그배R10" localSheetId="1">#REF!</definedName>
    <definedName name="꽃아그배R10">#REF!</definedName>
    <definedName name="꽃아그배R4" localSheetId="1">#REF!</definedName>
    <definedName name="꽃아그배R4">#REF!</definedName>
    <definedName name="꽃아그배R6" localSheetId="1">#REF!</definedName>
    <definedName name="꽃아그배R6">#REF!</definedName>
    <definedName name="꽃아그배R8" localSheetId="1">#REF!</definedName>
    <definedName name="꽃아그배R8">#REF!</definedName>
    <definedName name="꽝꽝0304" localSheetId="1">#REF!</definedName>
    <definedName name="꽝꽝0304">#REF!</definedName>
    <definedName name="꽝꽝0406" localSheetId="1">#REF!</definedName>
    <definedName name="꽝꽝0406">#REF!</definedName>
    <definedName name="꽝꽝0508" localSheetId="1">#REF!</definedName>
    <definedName name="꽝꽝0508">#REF!</definedName>
    <definedName name="꽝꽝0610" localSheetId="1">#REF!</definedName>
    <definedName name="꽝꽝0610">#REF!</definedName>
    <definedName name="ㄳㄷ" localSheetId="1" hidden="1">{#N/A,#N/A,FALSE,"Sheet6"}</definedName>
    <definedName name="ㄳㄷ" hidden="1">{#N/A,#N/A,FALSE,"Sheet6"}</definedName>
    <definedName name="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1" hidden="1">#REF!</definedName>
    <definedName name="ㄴㄴ" hidden="1">#REF!</definedName>
    <definedName name="ㄴㄴㄴ" localSheetId="1">#REF!</definedName>
    <definedName name="ㄴㄴㄴ">#REF!</definedName>
    <definedName name="ㄴㄷㄱㅈ" localSheetId="1" hidden="1">{#N/A,#N/A,FALSE,"Sheet6"}</definedName>
    <definedName name="ㄴㄷㄱㅈ" hidden="1">{#N/A,#N/A,FALSE,"Sheet6"}</definedName>
    <definedName name="ㄴㄹㅇㄷ" hidden="1">{#N/A,#N/A,FALSE,"변경관리예산";#N/A,#N/A,FALSE,"변경장비예산";#N/A,#N/A,FALSE,"변경준설예산";#N/A,#N/A,FALSE,"변경철구예산"}</definedName>
    <definedName name="ㄴㅇㄹ" hidden="1">{#N/A,#N/A,FALSE,"사업총괄";#N/A,#N/A,FALSE,"장비사업";#N/A,#N/A,FALSE,"철구사업";#N/A,#N/A,FALSE,"준설사업"}</definedName>
    <definedName name="ㄴㅇㅇㄹ" hidden="1">{#N/A,#N/A,FALSE,"CCTV"}</definedName>
    <definedName name="ㄴㅊ" hidden="1">{#N/A,#N/A,FALSE,"Sheet1"}</definedName>
    <definedName name="나" localSheetId="1" hidden="1">{#N/A,#N/A,FALSE,"교리2"}</definedName>
    <definedName name="나" hidden="1">{#N/A,#N/A,FALSE,"교리2"}</definedName>
    <definedName name="나.주거공단완충녹지시설물공">#N/A</definedName>
    <definedName name="나비" localSheetId="1">#REF!</definedName>
    <definedName name="나비">#REF!</definedName>
    <definedName name="낙상홍1004" localSheetId="1">#REF!</definedName>
    <definedName name="낙상홍1004">#REF!</definedName>
    <definedName name="낙상홍1506" localSheetId="1">#REF!</definedName>
    <definedName name="낙상홍1506">#REF!</definedName>
    <definedName name="낙상홍1808" localSheetId="1">#REF!</definedName>
    <definedName name="낙상홍1808">#REF!</definedName>
    <definedName name="낙상홍2010" localSheetId="1">#REF!</definedName>
    <definedName name="낙상홍2010">#REF!</definedName>
    <definedName name="낙상홍2515" localSheetId="1">#REF!</definedName>
    <definedName name="낙상홍2515">#REF!</definedName>
    <definedName name="낙우송R10" localSheetId="1">#REF!</definedName>
    <definedName name="낙우송R10">#REF!</definedName>
    <definedName name="낙우송R12" localSheetId="1">#REF!</definedName>
    <definedName name="낙우송R12">#REF!</definedName>
    <definedName name="낙우송R5" localSheetId="1">#REF!</definedName>
    <definedName name="낙우송R5">#REF!</definedName>
    <definedName name="낙우송R6" localSheetId="1">#REF!</definedName>
    <definedName name="낙우송R6">#REF!</definedName>
    <definedName name="낙우송R8" localSheetId="1">#REF!</definedName>
    <definedName name="낙우송R8">#REF!</definedName>
    <definedName name="내녁" localSheetId="1">#REF!</definedName>
    <definedName name="내녁">#REF!</definedName>
    <definedName name="내역" hidden="1">{#N/A,#N/A,FALSE,"CCTV"}</definedName>
    <definedName name="내역갑지">{"Book1","예술의전당.xls"}</definedName>
    <definedName name="내역ㅇㅇ">{"Book1","예술의전당.xls"}</definedName>
    <definedName name="년" localSheetId="1">#REF!</definedName>
    <definedName name="년">#REF!</definedName>
    <definedName name="노르웨이R12" localSheetId="1">#REF!</definedName>
    <definedName name="노르웨이R12">#REF!</definedName>
    <definedName name="노르웨이R15" localSheetId="1">#REF!</definedName>
    <definedName name="노르웨이R15">#REF!</definedName>
    <definedName name="노르웨이R4" localSheetId="1">#REF!</definedName>
    <definedName name="노르웨이R4">#REF!</definedName>
    <definedName name="노르웨이R5" localSheetId="1">#REF!</definedName>
    <definedName name="노르웨이R5">#REF!</definedName>
    <definedName name="노르웨이R6" localSheetId="1">#REF!</definedName>
    <definedName name="노르웨이R6">#REF!</definedName>
    <definedName name="노르웨이R8" localSheetId="1">#REF!</definedName>
    <definedName name="노르웨이R8">#REF!</definedName>
    <definedName name="노무" localSheetId="1">#REF!</definedName>
    <definedName name="노무">#REF!</definedName>
    <definedName name="노무비" localSheetId="1">#REF!</definedName>
    <definedName name="노무비">#REF!</definedName>
    <definedName name="노임">#N/A</definedName>
    <definedName name="논" localSheetId="1">#REF!</definedName>
    <definedName name="논">#REF!</definedName>
    <definedName name="논현동외" localSheetId="1" hidden="1">{#N/A,#N/A,FALSE,"Sheet6"}</definedName>
    <definedName name="논현동외" hidden="1">{#N/A,#N/A,FALSE,"Sheet6"}</definedName>
    <definedName name="눈향L06" localSheetId="1">#REF!</definedName>
    <definedName name="눈향L06">#REF!</definedName>
    <definedName name="눈향L08" localSheetId="1">#REF!</definedName>
    <definedName name="눈향L08">#REF!</definedName>
    <definedName name="눈향L10" localSheetId="1">#REF!</definedName>
    <definedName name="눈향L10">#REF!</definedName>
    <definedName name="눈향L14" localSheetId="1">#REF!</definedName>
    <definedName name="눈향L14">#REF!</definedName>
    <definedName name="눈향L20" localSheetId="1">#REF!</definedName>
    <definedName name="눈향L20">#REF!</definedName>
    <definedName name="느릅R10" localSheetId="1">#REF!</definedName>
    <definedName name="느릅R10">#REF!</definedName>
    <definedName name="느릅R4" localSheetId="1">#REF!</definedName>
    <definedName name="느릅R4">#REF!</definedName>
    <definedName name="느릅R5" localSheetId="1">#REF!</definedName>
    <definedName name="느릅R5">#REF!</definedName>
    <definedName name="느릅R8" localSheetId="1">#REF!</definedName>
    <definedName name="느릅R8">#REF!</definedName>
    <definedName name="느티R10" localSheetId="1">#REF!</definedName>
    <definedName name="느티R10">#REF!</definedName>
    <definedName name="느티R12" localSheetId="1">#REF!</definedName>
    <definedName name="느티R12">#REF!</definedName>
    <definedName name="느티R15" localSheetId="1">#REF!</definedName>
    <definedName name="느티R15">#REF!</definedName>
    <definedName name="느티R18" localSheetId="1">#REF!</definedName>
    <definedName name="느티R18">#REF!</definedName>
    <definedName name="느티R20" localSheetId="1">#REF!</definedName>
    <definedName name="느티R20">#REF!</definedName>
    <definedName name="느티R25" localSheetId="1">#REF!</definedName>
    <definedName name="느티R25">#REF!</definedName>
    <definedName name="느티R30" localSheetId="1">#REF!</definedName>
    <definedName name="느티R30">#REF!</definedName>
    <definedName name="느티R5" localSheetId="1">#REF!</definedName>
    <definedName name="느티R5">#REF!</definedName>
    <definedName name="느티R6" localSheetId="1">#REF!</definedName>
    <definedName name="느티R6">#REF!</definedName>
    <definedName name="느티R8" localSheetId="1">#REF!</definedName>
    <definedName name="느티R8">#REF!</definedName>
    <definedName name="능소화R2" localSheetId="1">#REF!</definedName>
    <definedName name="능소화R2">#REF!</definedName>
    <definedName name="능소화R4" localSheetId="1">#REF!</definedName>
    <definedName name="능소화R4">#REF!</definedName>
    <definedName name="능소화R6" localSheetId="1">#REF!</definedName>
    <definedName name="능소화R6">#REF!</definedName>
    <definedName name="ㄷ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대대대">#N/A</definedName>
    <definedName name="단가" localSheetId="1">#REF!</definedName>
    <definedName name="단가">#REF!</definedName>
    <definedName name="단계" localSheetId="1">#REF!</definedName>
    <definedName name="단계">#REF!</definedName>
    <definedName name="단뎀로라">250000</definedName>
    <definedName name="단위">#N/A</definedName>
    <definedName name="담쟁이L03" localSheetId="1">#REF!</definedName>
    <definedName name="담쟁이L03">#REF!</definedName>
    <definedName name="대왕참R10" localSheetId="1">#REF!</definedName>
    <definedName name="대왕참R10">#REF!</definedName>
    <definedName name="대왕참R4" localSheetId="1">#REF!</definedName>
    <definedName name="대왕참R4">#REF!</definedName>
    <definedName name="대왕참R6" localSheetId="1">#REF!</definedName>
    <definedName name="대왕참R6">#REF!</definedName>
    <definedName name="대왕참R8" localSheetId="1">#REF!</definedName>
    <definedName name="대왕참R8">#REF!</definedName>
    <definedName name="대전내역서_대전추가비교표_List" localSheetId="1">#REF!</definedName>
    <definedName name="대전내역서_대전추가비교표_List">#REF!</definedName>
    <definedName name="대지면적" localSheetId="1">#REF!</definedName>
    <definedName name="대지면적">#REF!</definedName>
    <definedName name="대체구거" localSheetId="1">#REF!</definedName>
    <definedName name="대체구거">#REF!</definedName>
    <definedName name="대추R10" localSheetId="1">#REF!</definedName>
    <definedName name="대추R10">#REF!</definedName>
    <definedName name="대추R4" localSheetId="1">#REF!</definedName>
    <definedName name="대추R4">#REF!</definedName>
    <definedName name="대추R5" localSheetId="1">#REF!</definedName>
    <definedName name="대추R5">#REF!</definedName>
    <definedName name="대추R6" localSheetId="1">#REF!</definedName>
    <definedName name="대추R6">#REF!</definedName>
    <definedName name="대추R8" localSheetId="1">#REF!</definedName>
    <definedName name="대추R8">#REF!</definedName>
    <definedName name="덤프">250000</definedName>
    <definedName name="덩굴장미3" localSheetId="1">#REF!</definedName>
    <definedName name="덩굴장미3">#REF!</definedName>
    <definedName name="덩굴장미4" localSheetId="1">#REF!</definedName>
    <definedName name="덩굴장미4">#REF!</definedName>
    <definedName name="덩굴장미5" localSheetId="1">#REF!</definedName>
    <definedName name="덩굴장미5">#REF!</definedName>
    <definedName name="도급공사비" localSheetId="1">#REF!</definedName>
    <definedName name="도급공사비">#REF!</definedName>
    <definedName name="도급금액" localSheetId="1">#REF!</definedName>
    <definedName name="도급금액">#REF!</definedName>
    <definedName name="도서" localSheetId="1">#REF!</definedName>
    <definedName name="도서">#REF!</definedName>
    <definedName name="도장" hidden="1">{#N/A,#N/A,FALSE,"CCTV"}</definedName>
    <definedName name="도쟈6P">250000</definedName>
    <definedName name="독일가문비1206" localSheetId="1">#REF!</definedName>
    <definedName name="독일가문비1206">#REF!</definedName>
    <definedName name="독일가문비1508" localSheetId="1">#REF!</definedName>
    <definedName name="독일가문비1508">#REF!</definedName>
    <definedName name="독일가문비2010" localSheetId="1">#REF!</definedName>
    <definedName name="독일가문비2010">#REF!</definedName>
    <definedName name="독일가문비2512" localSheetId="1">#REF!</definedName>
    <definedName name="독일가문비2512">#REF!</definedName>
    <definedName name="독일가문비3015" localSheetId="1">#REF!</definedName>
    <definedName name="독일가문비3015">#REF!</definedName>
    <definedName name="독일가문비3518" localSheetId="1">#REF!</definedName>
    <definedName name="독일가문비3518">#REF!</definedName>
    <definedName name="돈나무0504" localSheetId="1">#REF!</definedName>
    <definedName name="돈나무0504">#REF!</definedName>
    <definedName name="돈나무0805" localSheetId="1">#REF!</definedName>
    <definedName name="돈나무0805">#REF!</definedName>
    <definedName name="돈나무1007" localSheetId="1">#REF!</definedName>
    <definedName name="돈나무1007">#REF!</definedName>
    <definedName name="돈나무1210" localSheetId="1">#REF!</definedName>
    <definedName name="돈나무1210">#REF!</definedName>
    <definedName name="동백1002" localSheetId="1">#REF!</definedName>
    <definedName name="동백1002">#REF!</definedName>
    <definedName name="동백1204" localSheetId="1">#REF!</definedName>
    <definedName name="동백1204">#REF!</definedName>
    <definedName name="동백1506" localSheetId="1">#REF!</definedName>
    <definedName name="동백1506">#REF!</definedName>
    <definedName name="동백1808" localSheetId="1">#REF!</definedName>
    <definedName name="동백1808">#REF!</definedName>
    <definedName name="동부지분율" localSheetId="1">#REF!</definedName>
    <definedName name="동부지분율">#REF!</definedName>
    <definedName name="등R2" localSheetId="1">#REF!</definedName>
    <definedName name="등R2">#REF!</definedName>
    <definedName name="등R4" localSheetId="1">#REF!</definedName>
    <definedName name="등R4">#REF!</definedName>
    <definedName name="등R6" localSheetId="1">#REF!</definedName>
    <definedName name="등R6">#REF!</definedName>
    <definedName name="등R8" localSheetId="1">#REF!</definedName>
    <definedName name="등R8">#REF!</definedName>
    <definedName name="때죽R10" localSheetId="1">#REF!</definedName>
    <definedName name="때죽R10">#REF!</definedName>
    <definedName name="때죽R4" localSheetId="1">#REF!</definedName>
    <definedName name="때죽R4">#REF!</definedName>
    <definedName name="때죽R6" localSheetId="1">#REF!</definedName>
    <definedName name="때죽R6">#REF!</definedName>
    <definedName name="때죽R8" localSheetId="1">#REF!</definedName>
    <definedName name="때죽R8">#REF!</definedName>
    <definedName name="ㄹ2" localSheetId="1">#REF!</definedName>
    <definedName name="ㄹ2">#REF!</definedName>
    <definedName name="ㄹㄹ" hidden="1">#N/A</definedName>
    <definedName name="ㄹㄹㄹ" localSheetId="1" hidden="1">#REF!</definedName>
    <definedName name="ㄹㄹㄹ" hidden="1">#REF!</definedName>
    <definedName name="ㄹㅇ" localSheetId="1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ㄹㅇㄹㅇ" hidden="1">{#N/A,#N/A,FALSE,"CCTV"}</definedName>
    <definedName name="러헐" localSheetId="1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ㅀㅅㄱ" localSheetId="1" hidden="1">{#N/A,#N/A,FALSE,"Sheet6"}</definedName>
    <definedName name="ㅀㅅㄱ" hidden="1">{#N/A,#N/A,FALSE,"Sheet6"}</definedName>
    <definedName name="ㅁ" localSheetId="1">#REF!</definedName>
    <definedName name="ㅁ">#REF!</definedName>
    <definedName name="ㅁ1" localSheetId="1">#REF!</definedName>
    <definedName name="ㅁ1">#REF!</definedName>
    <definedName name="ㅁ1100" localSheetId="1">#REF!</definedName>
    <definedName name="ㅁ1100">#REF!</definedName>
    <definedName name="ㅁ1140" localSheetId="1">#REF!</definedName>
    <definedName name="ㅁ1140">#REF!</definedName>
    <definedName name="ㅁ139" localSheetId="1">#REF!</definedName>
    <definedName name="ㅁ139">#REF!</definedName>
    <definedName name="ㅁ835" localSheetId="1">#REF!</definedName>
    <definedName name="ㅁ835">#REF!</definedName>
    <definedName name="ㅁa1140" localSheetId="1">#REF!</definedName>
    <definedName name="ㅁa1140">#REF!</definedName>
    <definedName name="ㅁㅁㅁ" localSheetId="1">#REF!</definedName>
    <definedName name="ㅁㅁㅁ">#REF!</definedName>
    <definedName name="ㅁㅁㅁㅁㅁ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가목R3" localSheetId="1">#REF!</definedName>
    <definedName name="마가목R3">#REF!</definedName>
    <definedName name="마가목R5" localSheetId="1">#REF!</definedName>
    <definedName name="마가목R5">#REF!</definedName>
    <definedName name="마가목R7" localSheetId="1">#REF!</definedName>
    <definedName name="마가목R7">#REF!</definedName>
    <definedName name="마카담로라">250000</definedName>
    <definedName name="말발도리1003" localSheetId="1">#REF!</definedName>
    <definedName name="말발도리1003">#REF!</definedName>
    <definedName name="말발도리1204" localSheetId="1">#REF!</definedName>
    <definedName name="말발도리1204">#REF!</definedName>
    <definedName name="말발도리1506" localSheetId="1">#REF!</definedName>
    <definedName name="말발도리1506">#REF!</definedName>
    <definedName name="매자0804" localSheetId="1">#REF!</definedName>
    <definedName name="매자0804">#REF!</definedName>
    <definedName name="매자1005" localSheetId="1">#REF!</definedName>
    <definedName name="매자1005">#REF!</definedName>
    <definedName name="매크로1" localSheetId="1">#REF!</definedName>
    <definedName name="매크로1">#REF!</definedName>
    <definedName name="매크로2" localSheetId="1">#REF!</definedName>
    <definedName name="매크로2">#REF!</definedName>
    <definedName name="매화R10" localSheetId="1">#REF!</definedName>
    <definedName name="매화R10">#REF!</definedName>
    <definedName name="매화R4" localSheetId="1">#REF!</definedName>
    <definedName name="매화R4">#REF!</definedName>
    <definedName name="매화R6" localSheetId="1">#REF!</definedName>
    <definedName name="매화R6">#REF!</definedName>
    <definedName name="매화R8" localSheetId="1">#REF!</definedName>
    <definedName name="매화R8">#REF!</definedName>
    <definedName name="메타B10" localSheetId="1">#REF!</definedName>
    <definedName name="메타B10">#REF!</definedName>
    <definedName name="메타B12" localSheetId="1">#REF!</definedName>
    <definedName name="메타B12">#REF!</definedName>
    <definedName name="메타B15" localSheetId="1">#REF!</definedName>
    <definedName name="메타B15">#REF!</definedName>
    <definedName name="메타B18" localSheetId="1">#REF!</definedName>
    <definedName name="메타B18">#REF!</definedName>
    <definedName name="메타B4" localSheetId="1">#REF!</definedName>
    <definedName name="메타B4">#REF!</definedName>
    <definedName name="메타B5" localSheetId="1">#REF!</definedName>
    <definedName name="메타B5">#REF!</definedName>
    <definedName name="메타B6" localSheetId="1">#REF!</definedName>
    <definedName name="메타B6">#REF!</definedName>
    <definedName name="메타B8" localSheetId="1">#REF!</definedName>
    <definedName name="메타B8">#REF!</definedName>
    <definedName name="멘트" localSheetId="1">#REF!</definedName>
    <definedName name="멘트">#REF!</definedName>
    <definedName name="명자0604" localSheetId="1">#REF!</definedName>
    <definedName name="명자0604">#REF!</definedName>
    <definedName name="명자0805" localSheetId="1">#REF!</definedName>
    <definedName name="명자0805">#REF!</definedName>
    <definedName name="명자1006" localSheetId="1">#REF!</definedName>
    <definedName name="명자1006">#REF!</definedName>
    <definedName name="명자1208" localSheetId="1">#REF!</definedName>
    <definedName name="명자1208">#REF!</definedName>
    <definedName name="모" localSheetId="1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모감주R10" localSheetId="1">#REF!</definedName>
    <definedName name="모감주R10">#REF!</definedName>
    <definedName name="모감주R4" localSheetId="1">#REF!</definedName>
    <definedName name="모감주R4">#REF!</definedName>
    <definedName name="모감주R6" localSheetId="1">#REF!</definedName>
    <definedName name="모감주R6">#REF!</definedName>
    <definedName name="모감주R8" localSheetId="1">#REF!</definedName>
    <definedName name="모감주R8">#REF!</definedName>
    <definedName name="모과2005" localSheetId="1">#REF!</definedName>
    <definedName name="모과2005">#REF!</definedName>
    <definedName name="모과2507" localSheetId="1">#REF!</definedName>
    <definedName name="모과2507">#REF!</definedName>
    <definedName name="모과R10" localSheetId="1">#REF!</definedName>
    <definedName name="모과R10">#REF!</definedName>
    <definedName name="모과R12" localSheetId="1">#REF!</definedName>
    <definedName name="모과R12">#REF!</definedName>
    <definedName name="모과R15" localSheetId="1">#REF!</definedName>
    <definedName name="모과R15">#REF!</definedName>
    <definedName name="모과R20" localSheetId="1">#REF!</definedName>
    <definedName name="모과R20">#REF!</definedName>
    <definedName name="모과R25" localSheetId="1">#REF!</definedName>
    <definedName name="모과R25">#REF!</definedName>
    <definedName name="모과R5" localSheetId="1">#REF!</definedName>
    <definedName name="모과R5">#REF!</definedName>
    <definedName name="모과R8" localSheetId="1">#REF!</definedName>
    <definedName name="모과R8">#REF!</definedName>
    <definedName name="모란5가지" localSheetId="1">#REF!</definedName>
    <definedName name="모란5가지">#REF!</definedName>
    <definedName name="모란6가지" localSheetId="1">#REF!</definedName>
    <definedName name="모란6가지">#REF!</definedName>
    <definedName name="모래" localSheetId="1">#REF!</definedName>
    <definedName name="모래">#REF!</definedName>
    <definedName name="모래1" localSheetId="1">#REF!</definedName>
    <definedName name="모래1">#REF!</definedName>
    <definedName name="목련R10" localSheetId="1">#REF!</definedName>
    <definedName name="목련R10">#REF!</definedName>
    <definedName name="목련R12" localSheetId="1">#REF!</definedName>
    <definedName name="목련R12">#REF!</definedName>
    <definedName name="목련R15" localSheetId="1">#REF!</definedName>
    <definedName name="목련R15">#REF!</definedName>
    <definedName name="목련R20" localSheetId="1">#REF!</definedName>
    <definedName name="목련R20">#REF!</definedName>
    <definedName name="목련R4" localSheetId="1">#REF!</definedName>
    <definedName name="목련R4">#REF!</definedName>
    <definedName name="목련R5" localSheetId="1">#REF!</definedName>
    <definedName name="목련R5">#REF!</definedName>
    <definedName name="목련R6" localSheetId="1">#REF!</definedName>
    <definedName name="목련R6">#REF!</definedName>
    <definedName name="목련R8" localSheetId="1">#REF!</definedName>
    <definedName name="목련R8">#REF!</definedName>
    <definedName name="목서1506" localSheetId="1">#REF!</definedName>
    <definedName name="목서1506">#REF!</definedName>
    <definedName name="목서2012" localSheetId="1">#REF!</definedName>
    <definedName name="목서2012">#REF!</definedName>
    <definedName name="목서2515" localSheetId="1">#REF!</definedName>
    <definedName name="목서2515">#REF!</definedName>
    <definedName name="목수국1006" localSheetId="1">#REF!</definedName>
    <definedName name="목수국1006">#REF!</definedName>
    <definedName name="목수국1208" localSheetId="1">#REF!</definedName>
    <definedName name="목수국1208">#REF!</definedName>
    <definedName name="목수국1510" localSheetId="1">#REF!</definedName>
    <definedName name="목수국1510">#REF!</definedName>
    <definedName name="목재틀" hidden="1">{#N/A,#N/A,FALSE,"CCTV"}</definedName>
    <definedName name="목재틀갑지" hidden="1">{#N/A,#N/A,FALSE,"CCTV"}</definedName>
    <definedName name="무궁화1003" localSheetId="1">#REF!</definedName>
    <definedName name="무궁화1003">#REF!</definedName>
    <definedName name="무궁화1203" localSheetId="1">#REF!</definedName>
    <definedName name="무궁화1203">#REF!</definedName>
    <definedName name="무궁화1504" localSheetId="1">#REF!</definedName>
    <definedName name="무궁화1504">#REF!</definedName>
    <definedName name="무궁화1805" localSheetId="1">#REF!</definedName>
    <definedName name="무궁화1805">#REF!</definedName>
    <definedName name="무궁화2006" localSheetId="1">#REF!</definedName>
    <definedName name="무궁화2006">#REF!</definedName>
    <definedName name="물탱크" localSheetId="1">#REF!</definedName>
    <definedName name="물탱크">#REF!</definedName>
    <definedName name="물푸레R5" localSheetId="1">#REF!</definedName>
    <definedName name="물푸레R5">#REF!</definedName>
    <definedName name="물푸레R6" localSheetId="1">#REF!</definedName>
    <definedName name="물푸레R6">#REF!</definedName>
    <definedName name="물푸레R8" localSheetId="1">#REF!</definedName>
    <definedName name="물푸레R8">#REF!</definedName>
    <definedName name="미선0804" localSheetId="1">#REF!</definedName>
    <definedName name="미선0804">#REF!</definedName>
    <definedName name="미선1206" localSheetId="1">#REF!</definedName>
    <definedName name="미선1206">#REF!</definedName>
    <definedName name="ㅂㅂ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1">#REF!</definedName>
    <definedName name="ㅂㅂㅂ">#REF!</definedName>
    <definedName name="ㅂㅂㅂㅂㅂ" localSheetId="1" hidden="1">{"'별표'!$N$220"}</definedName>
    <definedName name="ㅂㅂㅂㅂㅂ" hidden="1">{"'별표'!$N$220"}</definedName>
    <definedName name="바닥재" hidden="1">{#N/A,#N/A,FALSE,"CCTV"}</definedName>
    <definedName name="바닥제외">{"Book1","예술의전당.xls"}</definedName>
    <definedName name="바닥제외갑지" hidden="1">{#N/A,#N/A,FALSE,"CCTV"}</definedName>
    <definedName name="반송1012" localSheetId="1">#REF!</definedName>
    <definedName name="반송1012">#REF!</definedName>
    <definedName name="반송1215" localSheetId="1">#REF!</definedName>
    <definedName name="반송1215">#REF!</definedName>
    <definedName name="반송1518" localSheetId="1">#REF!</definedName>
    <definedName name="반송1518">#REF!</definedName>
    <definedName name="반송1520" localSheetId="1">#REF!</definedName>
    <definedName name="반송1520">#REF!</definedName>
    <definedName name="반송2022" localSheetId="1">#REF!</definedName>
    <definedName name="반송2022">#REF!</definedName>
    <definedName name="백열등100W" localSheetId="1">#REF!</definedName>
    <definedName name="백열등100W">#REF!</definedName>
    <definedName name="백열등30W" localSheetId="1">#REF!</definedName>
    <definedName name="백열등30W">#REF!</definedName>
    <definedName name="백열등60W" localSheetId="1">#REF!</definedName>
    <definedName name="백열등60W">#REF!</definedName>
    <definedName name="백호02">230000</definedName>
    <definedName name="백호06">300000</definedName>
    <definedName name="백호10">250000</definedName>
    <definedName name="번호" localSheetId="1">#REF!</definedName>
    <definedName name="번호">#REF!</definedName>
    <definedName name="벙" localSheetId="1" hidden="1">{#N/A,#N/A,FALSE,"Sheet6"}</definedName>
    <definedName name="벙" hidden="1">{#N/A,#N/A,FALSE,"Sheet6"}</definedName>
    <definedName name="보통인부" localSheetId="1">#REF!</definedName>
    <definedName name="보통인부">#REF!</definedName>
    <definedName name="보통인부B10" localSheetId="1">#REF!</definedName>
    <definedName name="보통인부B10">#REF!</definedName>
    <definedName name="보통인부B4이하" localSheetId="1">#REF!</definedName>
    <definedName name="보통인부B4이하">#REF!</definedName>
    <definedName name="보통인부B5" localSheetId="1">#REF!</definedName>
    <definedName name="보통인부B5">#REF!</definedName>
    <definedName name="보통인부B6" localSheetId="1">#REF!</definedName>
    <definedName name="보통인부B6">#REF!</definedName>
    <definedName name="보통인부B8" localSheetId="1">#REF!</definedName>
    <definedName name="보통인부B8">#REF!</definedName>
    <definedName name="보통인부R10" localSheetId="1">#REF!</definedName>
    <definedName name="보통인부R10">#REF!</definedName>
    <definedName name="보통인부R12" localSheetId="1">#REF!</definedName>
    <definedName name="보통인부R12">#REF!</definedName>
    <definedName name="보통인부R15" localSheetId="1">#REF!</definedName>
    <definedName name="보통인부R15">#REF!</definedName>
    <definedName name="보통인부R4이하" localSheetId="1">#REF!</definedName>
    <definedName name="보통인부R4이하">#REF!</definedName>
    <definedName name="보통인부R5" localSheetId="1">#REF!</definedName>
    <definedName name="보통인부R5">#REF!</definedName>
    <definedName name="보통인부R6" localSheetId="1">#REF!</definedName>
    <definedName name="보통인부R6">#REF!</definedName>
    <definedName name="보통인부R7" localSheetId="1">#REF!</definedName>
    <definedName name="보통인부R7">#REF!</definedName>
    <definedName name="보통인부R8" localSheetId="1">#REF!</definedName>
    <definedName name="보통인부R8">#REF!</definedName>
    <definedName name="보험율" localSheetId="1">#REF!</definedName>
    <definedName name="보험율">#REF!</definedName>
    <definedName name="복리" localSheetId="1">#REF!</definedName>
    <definedName name="복리">#REF!</definedName>
    <definedName name="복지" localSheetId="1" hidden="1">#REF!</definedName>
    <definedName name="복지" hidden="1">#REF!</definedName>
    <definedName name="부가" localSheetId="1">#REF!</definedName>
    <definedName name="부가">#REF!</definedName>
    <definedName name="부가율" localSheetId="1">#REF!</definedName>
    <definedName name="부가율">#REF!</definedName>
    <definedName name="분고" localSheetId="1">#REF!</definedName>
    <definedName name="분고">#REF!</definedName>
    <definedName name="분둘레" localSheetId="1">#REF!</definedName>
    <definedName name="분둘레">#REF!</definedName>
    <definedName name="분반경" localSheetId="1">#REF!</definedName>
    <definedName name="분반경">#REF!</definedName>
    <definedName name="분상부체적" localSheetId="1">#REF!</definedName>
    <definedName name="분상부체적">#REF!</definedName>
    <definedName name="분석변경" localSheetId="1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종둘레" localSheetId="1">#REF!</definedName>
    <definedName name="분종둘레">#REF!</definedName>
    <definedName name="분중량" localSheetId="1">#REF!</definedName>
    <definedName name="분중량">#REF!</definedName>
    <definedName name="분체적" localSheetId="1">#REF!</definedName>
    <definedName name="분체적">#REF!</definedName>
    <definedName name="분표면적" localSheetId="1">#REF!</definedName>
    <definedName name="분표면적">#REF!</definedName>
    <definedName name="비고" localSheetId="1">#REF!</definedName>
    <definedName name="비고">#REF!</definedName>
    <definedName name="비유다">250000</definedName>
    <definedName name="뿌리돌림보통이눕" localSheetId="1">#REF!</definedName>
    <definedName name="뿌리돌림보통이눕">#REF!</definedName>
    <definedName name="뿌리돌림보통인부" localSheetId="1">#REF!</definedName>
    <definedName name="뿌리돌림보통인부">#REF!</definedName>
    <definedName name="뿌리돌림조경공" localSheetId="1">#REF!</definedName>
    <definedName name="뿌리돌림조경공">#REF!</definedName>
    <definedName name="ㅅㄱ혿ㄱㅎ" localSheetId="1" hidden="1">{#N/A,#N/A,FALSE,"Sheet6"}</definedName>
    <definedName name="ㅅㄱ혿ㄱㅎ" hidden="1">{#N/A,#N/A,FALSE,"Sheet6"}</definedName>
    <definedName name="ㅅ굔ㄱㄷ" localSheetId="1" hidden="1">{#N/A,#N/A,FALSE,"Sheet6"}</definedName>
    <definedName name="ㅅ굔ㄱㄷ" hidden="1">{#N/A,#N/A,FALSE,"Sheet6"}</definedName>
    <definedName name="ㅅㅅ" localSheetId="1" hidden="1">#REF!</definedName>
    <definedName name="ㅅㅅ" hidden="1">#REF!</definedName>
    <definedName name="ㅅㅅㅅㅅ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ㅎ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산보" localSheetId="1">#REF!</definedName>
    <definedName name="산보">#REF!</definedName>
    <definedName name="산재" localSheetId="1">#REF!</definedName>
    <definedName name="산재">#REF!</definedName>
    <definedName name="산정" localSheetId="1">#REF!</definedName>
    <definedName name="산정">#REF!</definedName>
    <definedName name="산출" localSheetId="1">#REF!</definedName>
    <definedName name="산출">#REF!</definedName>
    <definedName name="산출근거" localSheetId="1">#REF!</definedName>
    <definedName name="산출근거">#REF!</definedName>
    <definedName name="살수차">220000</definedName>
    <definedName name="삼.관리및편익시설물공">#N/A</definedName>
    <definedName name="삽" localSheetId="1" hidden="1">{#N/A,#N/A,FALSE,"Sheet6"}</definedName>
    <definedName name="삽" hidden="1">{#N/A,#N/A,FALSE,"Sheet6"}</definedName>
    <definedName name="상봉전기">#N/A</definedName>
    <definedName name="상하차경비10" localSheetId="1">#REF!</definedName>
    <definedName name="상하차경비10">#REF!</definedName>
    <definedName name="상하차경비15" localSheetId="1">#REF!</definedName>
    <definedName name="상하차경비15">#REF!</definedName>
    <definedName name="상하차경비20" localSheetId="1">#REF!</definedName>
    <definedName name="상하차경비20">#REF!</definedName>
    <definedName name="상하차경비25" localSheetId="1">#REF!</definedName>
    <definedName name="상하차경비25">#REF!</definedName>
    <definedName name="상하차경비30" localSheetId="1">#REF!</definedName>
    <definedName name="상하차경비30">#REF!</definedName>
    <definedName name="상하차경비35" localSheetId="1">#REF!</definedName>
    <definedName name="상하차경비35">#REF!</definedName>
    <definedName name="상하차경비40" localSheetId="1">#REF!</definedName>
    <definedName name="상하차경비40">#REF!</definedName>
    <definedName name="상하차경비45" localSheetId="1">#REF!</definedName>
    <definedName name="상하차경비45">#REF!</definedName>
    <definedName name="상하차경비5" localSheetId="1">#REF!</definedName>
    <definedName name="상하차경비5">#REF!</definedName>
    <definedName name="상하차경비50" localSheetId="1">#REF!</definedName>
    <definedName name="상하차경비50">#REF!</definedName>
    <definedName name="상하차노무비10" localSheetId="1">#REF!</definedName>
    <definedName name="상하차노무비10">#REF!</definedName>
    <definedName name="상하차노무비15" localSheetId="1">#REF!</definedName>
    <definedName name="상하차노무비15">#REF!</definedName>
    <definedName name="상하차노무비20" localSheetId="1">#REF!</definedName>
    <definedName name="상하차노무비20">#REF!</definedName>
    <definedName name="상하차노무비25" localSheetId="1">#REF!</definedName>
    <definedName name="상하차노무비25">#REF!</definedName>
    <definedName name="상하차노무비30" localSheetId="1">#REF!</definedName>
    <definedName name="상하차노무비30">#REF!</definedName>
    <definedName name="상하차노무비35" localSheetId="1">#REF!</definedName>
    <definedName name="상하차노무비35">#REF!</definedName>
    <definedName name="상하차노무비40" localSheetId="1">#REF!</definedName>
    <definedName name="상하차노무비40">#REF!</definedName>
    <definedName name="상하차노무비45" localSheetId="1">#REF!</definedName>
    <definedName name="상하차노무비45">#REF!</definedName>
    <definedName name="상하차노무비5" localSheetId="1">#REF!</definedName>
    <definedName name="상하차노무비5">#REF!</definedName>
    <definedName name="상하차노무비50" localSheetId="1">#REF!</definedName>
    <definedName name="상하차노무비50">#REF!</definedName>
    <definedName name="상하차재료비10" localSheetId="1">#REF!</definedName>
    <definedName name="상하차재료비10">#REF!</definedName>
    <definedName name="상하차재료비15" localSheetId="1">#REF!</definedName>
    <definedName name="상하차재료비15">#REF!</definedName>
    <definedName name="상하차재료비20" localSheetId="1">#REF!</definedName>
    <definedName name="상하차재료비20">#REF!</definedName>
    <definedName name="상하차재료비25" localSheetId="1">#REF!</definedName>
    <definedName name="상하차재료비25">#REF!</definedName>
    <definedName name="상하차재료비30" localSheetId="1">#REF!</definedName>
    <definedName name="상하차재료비30">#REF!</definedName>
    <definedName name="상하차재료비35" localSheetId="1">#REF!</definedName>
    <definedName name="상하차재료비35">#REF!</definedName>
    <definedName name="상하차재료비40" localSheetId="1">#REF!</definedName>
    <definedName name="상하차재료비40">#REF!</definedName>
    <definedName name="상하차재료비45" localSheetId="1">#REF!</definedName>
    <definedName name="상하차재료비45">#REF!</definedName>
    <definedName name="상하차재료비5" localSheetId="1">#REF!</definedName>
    <definedName name="상하차재료비5">#REF!</definedName>
    <definedName name="상하차재료비50" localSheetId="1">#REF!</definedName>
    <definedName name="상하차재료비50">#REF!</definedName>
    <definedName name="상환기간" localSheetId="1">#REF!</definedName>
    <definedName name="상환기간">#REF!</definedName>
    <definedName name="석재받은의뢰업체" hidden="1">255</definedName>
    <definedName name="선수어음금액" localSheetId="1">#REF!</definedName>
    <definedName name="선수어음금액">#REF!</definedName>
    <definedName name="선수어음기간" localSheetId="1">#REF!</definedName>
    <definedName name="선수어음기간">#REF!</definedName>
    <definedName name="선수어음비율" localSheetId="1">#REF!</definedName>
    <definedName name="선수어음비율">#REF!</definedName>
    <definedName name="선수율" localSheetId="1">#REF!</definedName>
    <definedName name="선수율">#REF!</definedName>
    <definedName name="선수현금금액" localSheetId="1">#REF!</definedName>
    <definedName name="선수현금금액">#REF!</definedName>
    <definedName name="선수현금비율" localSheetId="1">#REF!</definedName>
    <definedName name="선수현금비율">#REF!</definedName>
    <definedName name="선투입금액" localSheetId="1">#REF!</definedName>
    <definedName name="선투입금액">#REF!</definedName>
    <definedName name="설비" localSheetId="1">#REF!</definedName>
    <definedName name="설비">#REF!</definedName>
    <definedName name="소모" localSheetId="1">#REF!</definedName>
    <definedName name="소모">#REF!</definedName>
    <definedName name="소모비" localSheetId="1">#REF!</definedName>
    <definedName name="소모비">#REF!</definedName>
    <definedName name="소화갑지" localSheetId="1" hidden="1">{#N/A,#N/A,FALSE,"CCTV"}</definedName>
    <definedName name="소화갑지" hidden="1">{#N/A,#N/A,FALSE,"CCTV"}</definedName>
    <definedName name="쇼ㅏㅅ" localSheetId="1" hidden="1">{#N/A,#N/A,FALSE,"Sheet6"}</definedName>
    <definedName name="쇼ㅏㅅ" hidden="1">{#N/A,#N/A,FALSE,"Sheet6"}</definedName>
    <definedName name="숏교" localSheetId="1" hidden="1">{#N/A,#N/A,FALSE,"Sheet6"}</definedName>
    <definedName name="숏교" hidden="1">{#N/A,#N/A,FALSE,"Sheet6"}</definedName>
    <definedName name="수_량">#N/A</definedName>
    <definedName name="수간보호거적10" localSheetId="1">#REF!</definedName>
    <definedName name="수간보호거적10">#REF!</definedName>
    <definedName name="수간보호거적100" localSheetId="1">#REF!</definedName>
    <definedName name="수간보호거적100">#REF!</definedName>
    <definedName name="수간보호거적15" localSheetId="1">#REF!</definedName>
    <definedName name="수간보호거적15">#REF!</definedName>
    <definedName name="수간보호거적20" localSheetId="1">#REF!</definedName>
    <definedName name="수간보호거적20">#REF!</definedName>
    <definedName name="수간보호거적25" localSheetId="1">#REF!</definedName>
    <definedName name="수간보호거적25">#REF!</definedName>
    <definedName name="수간보호거적30" localSheetId="1">#REF!</definedName>
    <definedName name="수간보호거적30">#REF!</definedName>
    <definedName name="수간보호거적35" localSheetId="1">#REF!</definedName>
    <definedName name="수간보호거적35">#REF!</definedName>
    <definedName name="수간보호거적40" localSheetId="1">#REF!</definedName>
    <definedName name="수간보호거적40">#REF!</definedName>
    <definedName name="수간보호거적45" localSheetId="1">#REF!</definedName>
    <definedName name="수간보호거적45">#REF!</definedName>
    <definedName name="수간보호거적5" localSheetId="1">#REF!</definedName>
    <definedName name="수간보호거적5">#REF!</definedName>
    <definedName name="수간보호거적50" localSheetId="1">#REF!</definedName>
    <definedName name="수간보호거적50">#REF!</definedName>
    <definedName name="수간보호거적55" localSheetId="1">#REF!</definedName>
    <definedName name="수간보호거적55">#REF!</definedName>
    <definedName name="수간보호거적60" localSheetId="1">#REF!</definedName>
    <definedName name="수간보호거적60">#REF!</definedName>
    <definedName name="수간보호거적65" localSheetId="1">#REF!</definedName>
    <definedName name="수간보호거적65">#REF!</definedName>
    <definedName name="수간보호거적70" localSheetId="1">#REF!</definedName>
    <definedName name="수간보호거적70">#REF!</definedName>
    <definedName name="수간보호거적75" localSheetId="1">#REF!</definedName>
    <definedName name="수간보호거적75">#REF!</definedName>
    <definedName name="수간보호거적80" localSheetId="1">#REF!</definedName>
    <definedName name="수간보호거적80">#REF!</definedName>
    <definedName name="수간보호거적85" localSheetId="1">#REF!</definedName>
    <definedName name="수간보호거적85">#REF!</definedName>
    <definedName name="수간보호거적90" localSheetId="1">#REF!</definedName>
    <definedName name="수간보호거적90">#REF!</definedName>
    <definedName name="수간보호거적95" localSheetId="1">#REF!</definedName>
    <definedName name="수간보호거적95">#REF!</definedName>
    <definedName name="수간보호보통인부10" localSheetId="1">#REF!</definedName>
    <definedName name="수간보호보통인부10">#REF!</definedName>
    <definedName name="수간보호보통인부100" localSheetId="1">#REF!</definedName>
    <definedName name="수간보호보통인부100">#REF!</definedName>
    <definedName name="수간보호보통인부15" localSheetId="1">#REF!</definedName>
    <definedName name="수간보호보통인부15">#REF!</definedName>
    <definedName name="수간보호보통인부20" localSheetId="1">#REF!</definedName>
    <definedName name="수간보호보통인부20">#REF!</definedName>
    <definedName name="수간보호보통인부25" localSheetId="1">#REF!</definedName>
    <definedName name="수간보호보통인부25">#REF!</definedName>
    <definedName name="수간보호보통인부30" localSheetId="1">#REF!</definedName>
    <definedName name="수간보호보통인부30">#REF!</definedName>
    <definedName name="수간보호보통인부35" localSheetId="1">#REF!</definedName>
    <definedName name="수간보호보통인부35">#REF!</definedName>
    <definedName name="수간보호보통인부40" localSheetId="1">#REF!</definedName>
    <definedName name="수간보호보통인부40">#REF!</definedName>
    <definedName name="수간보호보통인부45" localSheetId="1">#REF!</definedName>
    <definedName name="수간보호보통인부45">#REF!</definedName>
    <definedName name="수간보호보통인부5" localSheetId="1">#REF!</definedName>
    <definedName name="수간보호보통인부5">#REF!</definedName>
    <definedName name="수간보호보통인부50" localSheetId="1">#REF!</definedName>
    <definedName name="수간보호보통인부50">#REF!</definedName>
    <definedName name="수간보호보통인부55" localSheetId="1">#REF!</definedName>
    <definedName name="수간보호보통인부55">#REF!</definedName>
    <definedName name="수간보호보통인부60" localSheetId="1">#REF!</definedName>
    <definedName name="수간보호보통인부60">#REF!</definedName>
    <definedName name="수간보호보통인부65" localSheetId="1">#REF!</definedName>
    <definedName name="수간보호보통인부65">#REF!</definedName>
    <definedName name="수간보호보통인부70" localSheetId="1">#REF!</definedName>
    <definedName name="수간보호보통인부70">#REF!</definedName>
    <definedName name="수간보호보통인부75" localSheetId="1">#REF!</definedName>
    <definedName name="수간보호보통인부75">#REF!</definedName>
    <definedName name="수간보호보통인부80" localSheetId="1">#REF!</definedName>
    <definedName name="수간보호보통인부80">#REF!</definedName>
    <definedName name="수간보호보통인부85" localSheetId="1">#REF!</definedName>
    <definedName name="수간보호보통인부85">#REF!</definedName>
    <definedName name="수간보호보통인부90" localSheetId="1">#REF!</definedName>
    <definedName name="수간보호보통인부90">#REF!</definedName>
    <definedName name="수간보호보통인부95" localSheetId="1">#REF!</definedName>
    <definedName name="수간보호보통인부95">#REF!</definedName>
    <definedName name="수간보호새끼10" localSheetId="1">#REF!</definedName>
    <definedName name="수간보호새끼10">#REF!</definedName>
    <definedName name="수간보호새끼100" localSheetId="1">#REF!</definedName>
    <definedName name="수간보호새끼100">#REF!</definedName>
    <definedName name="수간보호새끼15" localSheetId="1">#REF!</definedName>
    <definedName name="수간보호새끼15">#REF!</definedName>
    <definedName name="수간보호새끼20" localSheetId="1">#REF!</definedName>
    <definedName name="수간보호새끼20">#REF!</definedName>
    <definedName name="수간보호새끼25" localSheetId="1">#REF!</definedName>
    <definedName name="수간보호새끼25">#REF!</definedName>
    <definedName name="수간보호새끼30" localSheetId="1">#REF!</definedName>
    <definedName name="수간보호새끼30">#REF!</definedName>
    <definedName name="수간보호새끼35" localSheetId="1">#REF!</definedName>
    <definedName name="수간보호새끼35">#REF!</definedName>
    <definedName name="수간보호새끼40" localSheetId="1">#REF!</definedName>
    <definedName name="수간보호새끼40">#REF!</definedName>
    <definedName name="수간보호새끼45" localSheetId="1">#REF!</definedName>
    <definedName name="수간보호새끼45">#REF!</definedName>
    <definedName name="수간보호새끼5" localSheetId="1">#REF!</definedName>
    <definedName name="수간보호새끼5">#REF!</definedName>
    <definedName name="수간보호새끼50" localSheetId="1">#REF!</definedName>
    <definedName name="수간보호새끼50">#REF!</definedName>
    <definedName name="수간보호새끼55" localSheetId="1">#REF!</definedName>
    <definedName name="수간보호새끼55">#REF!</definedName>
    <definedName name="수간보호새끼60" localSheetId="1">#REF!</definedName>
    <definedName name="수간보호새끼60">#REF!</definedName>
    <definedName name="수간보호새끼65" localSheetId="1">#REF!</definedName>
    <definedName name="수간보호새끼65">#REF!</definedName>
    <definedName name="수간보호새끼70" localSheetId="1">#REF!</definedName>
    <definedName name="수간보호새끼70">#REF!</definedName>
    <definedName name="수간보호새끼75" localSheetId="1">#REF!</definedName>
    <definedName name="수간보호새끼75">#REF!</definedName>
    <definedName name="수간보호새끼80" localSheetId="1">#REF!</definedName>
    <definedName name="수간보호새끼80">#REF!</definedName>
    <definedName name="수간보호새끼85" localSheetId="1">#REF!</definedName>
    <definedName name="수간보호새끼85">#REF!</definedName>
    <definedName name="수간보호새끼90" localSheetId="1">#REF!</definedName>
    <definedName name="수간보호새끼90">#REF!</definedName>
    <definedName name="수간보호새끼95" localSheetId="1">#REF!</definedName>
    <definedName name="수간보호새끼95">#REF!</definedName>
    <definedName name="수간보호조경공10" localSheetId="1">#REF!</definedName>
    <definedName name="수간보호조경공10">#REF!</definedName>
    <definedName name="수간보호조경공100" localSheetId="1">#REF!</definedName>
    <definedName name="수간보호조경공100">#REF!</definedName>
    <definedName name="수간보호조경공15" localSheetId="1">#REF!</definedName>
    <definedName name="수간보호조경공15">#REF!</definedName>
    <definedName name="수간보호조경공20" localSheetId="1">#REF!</definedName>
    <definedName name="수간보호조경공20">#REF!</definedName>
    <definedName name="수간보호조경공25" localSheetId="1">#REF!</definedName>
    <definedName name="수간보호조경공25">#REF!</definedName>
    <definedName name="수간보호조경공30" localSheetId="1">#REF!</definedName>
    <definedName name="수간보호조경공30">#REF!</definedName>
    <definedName name="수간보호조경공35" localSheetId="1">#REF!</definedName>
    <definedName name="수간보호조경공35">#REF!</definedName>
    <definedName name="수간보호조경공40" localSheetId="1">#REF!</definedName>
    <definedName name="수간보호조경공40">#REF!</definedName>
    <definedName name="수간보호조경공45" localSheetId="1">#REF!</definedName>
    <definedName name="수간보호조경공45">#REF!</definedName>
    <definedName name="수간보호조경공5" localSheetId="1">#REF!</definedName>
    <definedName name="수간보호조경공5">#REF!</definedName>
    <definedName name="수간보호조경공50" localSheetId="1">#REF!</definedName>
    <definedName name="수간보호조경공50">#REF!</definedName>
    <definedName name="수간보호조경공55" localSheetId="1">#REF!</definedName>
    <definedName name="수간보호조경공55">#REF!</definedName>
    <definedName name="수간보호조경공60" localSheetId="1">#REF!</definedName>
    <definedName name="수간보호조경공60">#REF!</definedName>
    <definedName name="수간보호조경공65" localSheetId="1">#REF!</definedName>
    <definedName name="수간보호조경공65">#REF!</definedName>
    <definedName name="수간보호조경공70" localSheetId="1">#REF!</definedName>
    <definedName name="수간보호조경공70">#REF!</definedName>
    <definedName name="수간보호조경공75" localSheetId="1">#REF!</definedName>
    <definedName name="수간보호조경공75">#REF!</definedName>
    <definedName name="수간보호조경공80" localSheetId="1">#REF!</definedName>
    <definedName name="수간보호조경공80">#REF!</definedName>
    <definedName name="수간보호조경공85" localSheetId="1">#REF!</definedName>
    <definedName name="수간보호조경공85">#REF!</definedName>
    <definedName name="수간보호조경공90" localSheetId="1">#REF!</definedName>
    <definedName name="수간보호조경공90">#REF!</definedName>
    <definedName name="수간보호조경공95" localSheetId="1">#REF!</definedName>
    <definedName name="수간보호조경공95">#REF!</definedName>
    <definedName name="수량" localSheetId="1">#REF!</definedName>
    <definedName name="수량">#REF!</definedName>
    <definedName name="수목공통대가">#N/A</definedName>
    <definedName name="수목일위대가">#N/A</definedName>
    <definedName name="수은등100W" localSheetId="1">#REF!</definedName>
    <definedName name="수은등100W">#REF!</definedName>
    <definedName name="수은등200W" localSheetId="1">#REF!</definedName>
    <definedName name="수은등200W">#REF!</definedName>
    <definedName name="수은등250W" localSheetId="1">#REF!</definedName>
    <definedName name="수은등250W">#REF!</definedName>
    <definedName name="수은등300W" localSheetId="1">#REF!</definedName>
    <definedName name="수은등300W">#REF!</definedName>
    <definedName name="수은등400W" localSheetId="1">#REF!</definedName>
    <definedName name="수은등400W">#REF!</definedName>
    <definedName name="수입이자" localSheetId="1">#REF!</definedName>
    <definedName name="수입이자">#REF!</definedName>
    <definedName name="순공">#N/A</definedName>
    <definedName name="순천_연향_1차" localSheetId="1">#REF!</definedName>
    <definedName name="순천_연향_1차">#REF!</definedName>
    <definedName name="시" localSheetId="1">#REF!</definedName>
    <definedName name="시">#REF!</definedName>
    <definedName name="시작년" localSheetId="1">#REF!</definedName>
    <definedName name="시작년">#REF!</definedName>
    <definedName name="시작월" localSheetId="1">#REF!</definedName>
    <definedName name="시작월">#REF!</definedName>
    <definedName name="시화군대체" localSheetId="1">#REF!</definedName>
    <definedName name="시화군대체">#REF!</definedName>
    <definedName name="식대">4000+1500*2</definedName>
    <definedName name="식재공">#N/A</definedName>
    <definedName name="식재공사97">#N/A</definedName>
    <definedName name="식재보통인부" localSheetId="1">#REF!</definedName>
    <definedName name="식재보통인부">#REF!</definedName>
    <definedName name="식재조경공" localSheetId="1">#REF!</definedName>
    <definedName name="식재조경공">#REF!</definedName>
    <definedName name="식혈반경" localSheetId="1">#REF!</definedName>
    <definedName name="식혈반경">#REF!</definedName>
    <definedName name="식혈체적" localSheetId="1">#REF!</definedName>
    <definedName name="식혈체적">#REF!</definedName>
    <definedName name="실경상" localSheetId="1">#REF!</definedName>
    <definedName name="실경상">#REF!</definedName>
    <definedName name="실금" localSheetId="1">#REF!</definedName>
    <definedName name="실금">#REF!</definedName>
    <definedName name="실인원" localSheetId="1">#REF!</definedName>
    <definedName name="실인원">#REF!</definedName>
    <definedName name="실행갑" localSheetId="1">#REF!</definedName>
    <definedName name="실행갑">#REF!</definedName>
    <definedName name="실행갑지" localSheetId="1">#REF!</definedName>
    <definedName name="실행갑지">#REF!</definedName>
    <definedName name="실행금액" hidden="1">{#N/A,#N/A,FALSE,"CCTV"}</definedName>
    <definedName name="실행조건" localSheetId="1">#REF!</definedName>
    <definedName name="실행조건">#REF!</definedName>
    <definedName name="ㅇㄴㄹㄴㄹㅇㄹ" hidden="1">{#N/A,#N/A,FALSE,"CCTV"}</definedName>
    <definedName name="ㅇㄹㄹ" localSheetId="1" hidden="1">#REF!</definedName>
    <definedName name="ㅇㄹㄹ" hidden="1">#REF!</definedName>
    <definedName name="ㅇㄹㅇㄹㅇ" hidden="1">{#N/A,#N/A,FALSE,"CCTV"}</definedName>
    <definedName name="ㅇㄹㅇㄹㅇㄹ" hidden="1">{#N/A,#N/A,FALSE,"CCTV"}</definedName>
    <definedName name="ㅇㅇ" hidden="1">#N/A</definedName>
    <definedName name="ㅇㅇㄹㅇㄹ" hidden="1">{#N/A,#N/A,FALSE,"CCTV"}</definedName>
    <definedName name="ㅇㅇㄹㅇㄹㅇ" hidden="1">{#N/A,#N/A,FALSE,"CCTV"}</definedName>
    <definedName name="ㅇㅇㅇ" localSheetId="1">#REF!</definedName>
    <definedName name="ㅇㅇㅇ">#REF!</definedName>
    <definedName name="ㅇㅇㅇㅇ" localSheetId="1">#REF!</definedName>
    <definedName name="ㅇㅇㅇㅇ">#REF!</definedName>
    <definedName name="ㅇㅇㅇㅇㅇ" localSheetId="1">#REF!</definedName>
    <definedName name="ㅇㅇㅇㅇㅇ">#REF!</definedName>
    <definedName name="아야" localSheetId="1">#REF!</definedName>
    <definedName name="아야">#REF!</definedName>
    <definedName name="안전" localSheetId="1">#REF!</definedName>
    <definedName name="안전">#REF!</definedName>
    <definedName name="안전본봉" localSheetId="1">#REF!</definedName>
    <definedName name="안전본봉">#REF!</definedName>
    <definedName name="안전율" localSheetId="1">#REF!</definedName>
    <definedName name="안전율">#REF!</definedName>
    <definedName name="양매자0403" localSheetId="1">#REF!</definedName>
    <definedName name="양매자0403">#REF!</definedName>
    <definedName name="양매자0505" localSheetId="1">#REF!</definedName>
    <definedName name="양매자0505">#REF!</definedName>
    <definedName name="양매자0606" localSheetId="1">#REF!</definedName>
    <definedName name="양매자0606">#REF!</definedName>
    <definedName name="양석" localSheetId="1">#REF!,#REF!,#REF!,#REF!,#REF!,#REF!,#REF!,#REF!,#REF!,#REF!,#REF!,#REF!,#REF!,#REF!,#REF!,#REF!,#REF!,#REF!,#REF!</definedName>
    <definedName name="양석">#REF!,#REF!,#REF!,#REF!,#REF!,#REF!,#REF!,#REF!,#REF!,#REF!,#REF!,#REF!,#REF!,#REF!,#REF!,#REF!,#REF!,#REF!,#REF!</definedName>
    <definedName name="양석김" localSheetId="1">#REF!</definedName>
    <definedName name="양석김">#REF!</definedName>
    <definedName name="어쭈구리" localSheetId="1" hidden="1">{#N/A,#N/A,FALSE,"교리2"}</definedName>
    <definedName name="어쭈구리" hidden="1">{#N/A,#N/A,FALSE,"교리2"}</definedName>
    <definedName name="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체리스트" localSheetId="1">#REF!</definedName>
    <definedName name="업체리스트">#REF!</definedName>
    <definedName name="역사" localSheetId="1">#REF!</definedName>
    <definedName name="역사">#REF!</definedName>
    <definedName name="연이율" localSheetId="1">#REF!</definedName>
    <definedName name="연이율">#REF!</definedName>
    <definedName name="예상ㅅ" hidden="1">{#N/A,#N/A,FALSE,"예상손익";#N/A,#N/A,FALSE,"관리분석";#N/A,#N/A,FALSE,"장비분석";#N/A,#N/A,FALSE,"준설분석";#N/A,#N/A,FALSE,"철구분석"}</definedName>
    <definedName name="요철개수" localSheetId="1">#REF!</definedName>
    <definedName name="요철개수">#REF!</definedName>
    <definedName name="요철체적" localSheetId="1">#REF!</definedName>
    <definedName name="요철체적">#REF!</definedName>
    <definedName name="용역" localSheetId="1">#REF!</definedName>
    <definedName name="용역">#REF!</definedName>
    <definedName name="용인착공">#N/A</definedName>
    <definedName name="우후" localSheetId="1" hidden="1">{"'별표'!$N$220"}</definedName>
    <definedName name="우후" hidden="1">{"'별표'!$N$220"}</definedName>
    <definedName name="운반" localSheetId="1">#REF!</definedName>
    <definedName name="운반">#REF!</definedName>
    <definedName name="운반비경비10" localSheetId="1">#REF!</definedName>
    <definedName name="운반비경비10">#REF!</definedName>
    <definedName name="운반비경비15" localSheetId="1">#REF!</definedName>
    <definedName name="운반비경비15">#REF!</definedName>
    <definedName name="운반비경비20" localSheetId="1">#REF!</definedName>
    <definedName name="운반비경비20">#REF!</definedName>
    <definedName name="운반비경비25" localSheetId="1">#REF!</definedName>
    <definedName name="운반비경비25">#REF!</definedName>
    <definedName name="운반비경비30" localSheetId="1">#REF!</definedName>
    <definedName name="운반비경비30">#REF!</definedName>
    <definedName name="운반비경비35" localSheetId="1">#REF!</definedName>
    <definedName name="운반비경비35">#REF!</definedName>
    <definedName name="운반비경비40" localSheetId="1">#REF!</definedName>
    <definedName name="운반비경비40">#REF!</definedName>
    <definedName name="운반비경비45" localSheetId="1">#REF!</definedName>
    <definedName name="운반비경비45">#REF!</definedName>
    <definedName name="운반비경비5" localSheetId="1">#REF!</definedName>
    <definedName name="운반비경비5">#REF!</definedName>
    <definedName name="운반비경비50" localSheetId="1">#REF!</definedName>
    <definedName name="운반비경비50">#REF!</definedName>
    <definedName name="운반비노무비10" localSheetId="1">#REF!</definedName>
    <definedName name="운반비노무비10">#REF!</definedName>
    <definedName name="운반비노무비15" localSheetId="1">#REF!</definedName>
    <definedName name="운반비노무비15">#REF!</definedName>
    <definedName name="운반비노무비20" localSheetId="1">#REF!</definedName>
    <definedName name="운반비노무비20">#REF!</definedName>
    <definedName name="운반비노무비25" localSheetId="1">#REF!</definedName>
    <definedName name="운반비노무비25">#REF!</definedName>
    <definedName name="운반비노무비30" localSheetId="1">#REF!</definedName>
    <definedName name="운반비노무비30">#REF!</definedName>
    <definedName name="운반비노무비35" localSheetId="1">#REF!</definedName>
    <definedName name="운반비노무비35">#REF!</definedName>
    <definedName name="운반비노무비40" localSheetId="1">#REF!</definedName>
    <definedName name="운반비노무비40">#REF!</definedName>
    <definedName name="운반비노무비45" localSheetId="1">#REF!</definedName>
    <definedName name="운반비노무비45">#REF!</definedName>
    <definedName name="운반비노무비5" localSheetId="1">#REF!</definedName>
    <definedName name="운반비노무비5">#REF!</definedName>
    <definedName name="운반비노무비50" localSheetId="1">#REF!</definedName>
    <definedName name="운반비노무비50">#REF!</definedName>
    <definedName name="운반비재료비10" localSheetId="1">#REF!</definedName>
    <definedName name="운반비재료비10">#REF!</definedName>
    <definedName name="운반비재료비15" localSheetId="1">#REF!</definedName>
    <definedName name="운반비재료비15">#REF!</definedName>
    <definedName name="운반비재료비20" localSheetId="1">#REF!</definedName>
    <definedName name="운반비재료비20">#REF!</definedName>
    <definedName name="운반비재료비25" localSheetId="1">#REF!</definedName>
    <definedName name="운반비재료비25">#REF!</definedName>
    <definedName name="운반비재료비30" localSheetId="1">#REF!</definedName>
    <definedName name="운반비재료비30">#REF!</definedName>
    <definedName name="운반비재료비35" localSheetId="1">#REF!</definedName>
    <definedName name="운반비재료비35">#REF!</definedName>
    <definedName name="운반비재료비40" localSheetId="1">#REF!</definedName>
    <definedName name="운반비재료비40">#REF!</definedName>
    <definedName name="운반비재료비45" localSheetId="1">#REF!</definedName>
    <definedName name="운반비재료비45">#REF!</definedName>
    <definedName name="운반비재료비5" localSheetId="1">#REF!</definedName>
    <definedName name="운반비재료비5">#REF!</definedName>
    <definedName name="운반비재료비50" localSheetId="1">#REF!</definedName>
    <definedName name="운반비재료비50">#REF!</definedName>
    <definedName name="원" localSheetId="1">#REF!</definedName>
    <definedName name="원">#REF!</definedName>
    <definedName name="원가" localSheetId="1">#REF!</definedName>
    <definedName name="원가">#REF!</definedName>
    <definedName name="월" localSheetId="1">#REF!</definedName>
    <definedName name="월">#REF!</definedName>
    <definedName name="위치" localSheetId="1">#REF!</definedName>
    <definedName name="위치">#REF!</definedName>
    <definedName name="유보금액" localSheetId="1">#REF!</definedName>
    <definedName name="유보금액">#REF!</definedName>
    <definedName name="유보율" localSheetId="1">#REF!</definedName>
    <definedName name="유보율">#REF!</definedName>
    <definedName name="윤" localSheetId="1">#REF!,#REF!,#REF!,#REF!,#REF!,#REF!,#REF!,#REF!,#REF!,#REF!,#REF!,#REF!,#REF!,#REF!,#REF!,#REF!,#REF!,#REF!,#REF!</definedName>
    <definedName name="윤">#REF!,#REF!,#REF!,#REF!,#REF!,#REF!,#REF!,#REF!,#REF!,#REF!,#REF!,#REF!,#REF!,#REF!,#REF!,#REF!,#REF!,#REF!,#REF!</definedName>
    <definedName name="이" localSheetId="1">#REF!</definedName>
    <definedName name="이">#REF!</definedName>
    <definedName name="이공구가설비" localSheetId="1">#REF!</definedName>
    <definedName name="이공구가설비">#REF!</definedName>
    <definedName name="이공구간접노무비" localSheetId="1">#REF!</definedName>
    <definedName name="이공구간접노무비">#REF!</definedName>
    <definedName name="이공구공사원가" localSheetId="1">#REF!</definedName>
    <definedName name="이공구공사원가">#REF!</definedName>
    <definedName name="이공구기타경비" localSheetId="1">#REF!</definedName>
    <definedName name="이공구기타경비">#REF!</definedName>
    <definedName name="이공구부가가치세" localSheetId="1">#REF!</definedName>
    <definedName name="이공구부가가치세">#REF!</definedName>
    <definedName name="이공구산재보험료" localSheetId="1">#REF!</definedName>
    <definedName name="이공구산재보험료">#REF!</definedName>
    <definedName name="이공구안전관리비" localSheetId="1">#REF!</definedName>
    <definedName name="이공구안전관리비">#REF!</definedName>
    <definedName name="이공구이윤" localSheetId="1">#REF!</definedName>
    <definedName name="이공구이윤">#REF!</definedName>
    <definedName name="이공구일반관리비" localSheetId="1">#REF!</definedName>
    <definedName name="이공구일반관리비">#REF!</definedName>
    <definedName name="이용" localSheetId="1">#REF!</definedName>
    <definedName name="이용">#REF!</definedName>
    <definedName name="이윤" localSheetId="1">#REF!</definedName>
    <definedName name="이윤">#REF!</definedName>
    <definedName name="이윤율" localSheetId="1">#REF!</definedName>
    <definedName name="이윤율">#REF!</definedName>
    <definedName name="이윤지분공제" localSheetId="1">#REF!</definedName>
    <definedName name="이윤지분공제">#REF!</definedName>
    <definedName name="이응각" localSheetId="1">#REF!</definedName>
    <definedName name="이응각">#REF!</definedName>
    <definedName name="이자" localSheetId="1">#REF!</definedName>
    <definedName name="이자">#REF!</definedName>
    <definedName name="이희선" localSheetId="1">#REF!,#REF!</definedName>
    <definedName name="이희선">#REF!,#REF!</definedName>
    <definedName name="인력품" localSheetId="1">#REF!</definedName>
    <definedName name="인력품">#REF!</definedName>
    <definedName name="인원" localSheetId="1">#REF!</definedName>
    <definedName name="인원">#REF!</definedName>
    <definedName name="인테리어" localSheetId="1">#REF!</definedName>
    <definedName name="인테리어">#REF!</definedName>
    <definedName name="일.화장실및관리실">#N/A</definedName>
    <definedName name="일공구가설비">#N/A</definedName>
    <definedName name="일공구간접노무비">#N/A</definedName>
    <definedName name="일공구공사원가">#N/A</definedName>
    <definedName name="일공구기계경비">#N/A</definedName>
    <definedName name="일공구기타경비">#N/A</definedName>
    <definedName name="일공구도급공사비">#N/A</definedName>
    <definedName name="일공구부가가치세">#N/A</definedName>
    <definedName name="일공구산재보험료">#N/A</definedName>
    <definedName name="일공구안전관리비">#N/A</definedName>
    <definedName name="일공구이윤">#N/A</definedName>
    <definedName name="일공구일반관리비">#N/A</definedName>
    <definedName name="일공구직영비" localSheetId="1">#REF!</definedName>
    <definedName name="일공구직영비">#REF!</definedName>
    <definedName name="일공구직접노무비">#N/A</definedName>
    <definedName name="일공구직접재료비">#N/A</definedName>
    <definedName name="일공구품질관리비">#N/A</definedName>
    <definedName name="일대1" localSheetId="1">#REF!</definedName>
    <definedName name="일대1">#REF!</definedName>
    <definedName name="일반" localSheetId="1">#REF!</definedName>
    <definedName name="일반">#REF!</definedName>
    <definedName name="일위" localSheetId="1">#REF!</definedName>
    <definedName name="일위">#REF!</definedName>
    <definedName name="일위1" localSheetId="1">#REF!</definedName>
    <definedName name="일위1">#REF!</definedName>
    <definedName name="일위대가" localSheetId="1" hidden="1">#REF!</definedName>
    <definedName name="일위대가" hidden="1">#REF!</definedName>
    <definedName name="일위수량" localSheetId="1">#REF!</definedName>
    <definedName name="일위수량">#REF!</definedName>
    <definedName name="임시동력" localSheetId="1">#REF!</definedName>
    <definedName name="임시동력">#REF!</definedName>
    <definedName name="임시동력2" localSheetId="1">#REF!</definedName>
    <definedName name="임시동력2">#REF!</definedName>
    <definedName name="입력" localSheetId="1">#REF!,#REF!,#REF!,#REF!,#REF!,#REF!,#REF!,#REF!,#REF!,#REF!,#REF!,#REF!</definedName>
    <definedName name="입력">#REF!,#REF!,#REF!,#REF!,#REF!,#REF!,#REF!,#REF!,#REF!,#REF!,#REF!,#REF!</definedName>
    <definedName name="ㅈㄷㄱㅈ" localSheetId="1" hidden="1">{#N/A,#N/A,FALSE,"Sheet6"}</definedName>
    <definedName name="ㅈㄷㄱㅈ" hidden="1">{#N/A,#N/A,FALSE,"Sheet6"}</definedName>
    <definedName name="ㅈㄷㄳㅈㄷ" localSheetId="1" hidden="1">{#N/A,#N/A,FALSE,"Sheet6"}</definedName>
    <definedName name="ㅈㄷㄳㅈㄷ" hidden="1">{#N/A,#N/A,FALSE,"Sheet6"}</definedName>
    <definedName name="자재" localSheetId="1">#REF!</definedName>
    <definedName name="자재">#REF!</definedName>
    <definedName name="자재단가" localSheetId="1">#REF!</definedName>
    <definedName name="자재단가">#REF!</definedName>
    <definedName name="장구" localSheetId="1" hidden="1">{#N/A,#N/A,FALSE,"Sheet6"}</definedName>
    <definedName name="장구" hidden="1">{#N/A,#N/A,FALSE,"Sheet6"}</definedName>
    <definedName name="장비" localSheetId="1">#REF!</definedName>
    <definedName name="장비">#REF!</definedName>
    <definedName name="재" localSheetId="1">#REF!</definedName>
    <definedName name="재">#REF!</definedName>
    <definedName name="재료" localSheetId="1">#REF!</definedName>
    <definedName name="재료">#REF!</definedName>
    <definedName name="재료비" localSheetId="1">#REF!</definedName>
    <definedName name="재료비">#REF!</definedName>
    <definedName name="전광속" localSheetId="1">#REF!</definedName>
    <definedName name="전광속">#REF!</definedName>
    <definedName name="전기" localSheetId="1">#REF!</definedName>
    <definedName name="전기">#REF!</definedName>
    <definedName name="전기공사" localSheetId="1">#REF!</definedName>
    <definedName name="전기공사">#REF!</definedName>
    <definedName name="전기내역" hidden="1">{#N/A,#N/A,FALSE,"CCTV"}</definedName>
    <definedName name="전등설비" hidden="1">{#N/A,#N/A,FALSE,"CCTV"}</definedName>
    <definedName name="全体" localSheetId="1">#REF!</definedName>
    <definedName name="全体">#REF!</definedName>
    <definedName name="全体１" localSheetId="1">#REF!</definedName>
    <definedName name="全体１">#REF!</definedName>
    <definedName name="정산" localSheetId="1">#REF!</definedName>
    <definedName name="정산">#REF!</definedName>
    <definedName name="정산1" localSheetId="1">#REF!</definedName>
    <definedName name="정산1">#REF!</definedName>
    <definedName name="정산2" localSheetId="1">#REF!</definedName>
    <definedName name="정산2">#REF!</definedName>
    <definedName name="제룰보고서" localSheetId="1">#REF!</definedName>
    <definedName name="제룰보고서">#REF!</definedName>
    <definedName name="제작비" localSheetId="1">#REF!</definedName>
    <definedName name="제작비">#REF!</definedName>
    <definedName name="제잡">#N/A</definedName>
    <definedName name="조경공" localSheetId="1">#REF!</definedName>
    <definedName name="조경공">#REF!</definedName>
    <definedName name="조경공B10" localSheetId="1">#REF!</definedName>
    <definedName name="조경공B10">#REF!</definedName>
    <definedName name="조경공B4이하" localSheetId="1">#REF!</definedName>
    <definedName name="조경공B4이하">#REF!</definedName>
    <definedName name="조경공B5" localSheetId="1">#REF!</definedName>
    <definedName name="조경공B5">#REF!</definedName>
    <definedName name="조경공B6" localSheetId="1">#REF!</definedName>
    <definedName name="조경공B6">#REF!</definedName>
    <definedName name="조경공B8" localSheetId="1">#REF!</definedName>
    <definedName name="조경공B8">#REF!</definedName>
    <definedName name="조경공R10" localSheetId="1">#REF!</definedName>
    <definedName name="조경공R10">#REF!</definedName>
    <definedName name="조경공R12" localSheetId="1">#REF!</definedName>
    <definedName name="조경공R12">#REF!</definedName>
    <definedName name="조경공R15" localSheetId="1">#REF!</definedName>
    <definedName name="조경공R15">#REF!</definedName>
    <definedName name="조경공R4이하" localSheetId="1">#REF!</definedName>
    <definedName name="조경공R4이하">#REF!</definedName>
    <definedName name="조경공R5" localSheetId="1">#REF!</definedName>
    <definedName name="조경공R5">#REF!</definedName>
    <definedName name="조경공R6" localSheetId="1">#REF!</definedName>
    <definedName name="조경공R6">#REF!</definedName>
    <definedName name="조경공R7" localSheetId="1">#REF!</definedName>
    <definedName name="조경공R7">#REF!</definedName>
    <definedName name="조경공R8" localSheetId="1">#REF!</definedName>
    <definedName name="조경공R8">#REF!</definedName>
    <definedName name="조원공_1.1_1.5" localSheetId="1">#REF!</definedName>
    <definedName name="조원공_1.1_1.5">#REF!</definedName>
    <definedName name="조창현" localSheetId="1" hidden="1">{#N/A,#N/A,FALSE,"교리2"}</definedName>
    <definedName name="조창현" hidden="1">{#N/A,#N/A,FALSE,"교리2"}</definedName>
    <definedName name="조형가이즈까3010" localSheetId="1">#REF!</definedName>
    <definedName name="조형가이즈까3010">#REF!</definedName>
    <definedName name="조형가이즈까3012" localSheetId="1">#REF!</definedName>
    <definedName name="조형가이즈까3012">#REF!</definedName>
    <definedName name="조형가이즈까3014" localSheetId="1">#REF!</definedName>
    <definedName name="조형가이즈까3014">#REF!</definedName>
    <definedName name="조형가이즈까3516" localSheetId="1">#REF!</definedName>
    <definedName name="조형가이즈까3516">#REF!</definedName>
    <definedName name="중기공" localSheetId="1">#REF!</definedName>
    <definedName name="중기공">#REF!</definedName>
    <definedName name="중량" localSheetId="1">#REF!</definedName>
    <definedName name="중량">#REF!</definedName>
    <definedName name="중량표" localSheetId="1">#REF!</definedName>
    <definedName name="중량표">#REF!</definedName>
    <definedName name="지급이자" localSheetId="1">#REF!</definedName>
    <definedName name="지급이자">#REF!</definedName>
    <definedName name="지분율투입" localSheetId="1">#REF!</definedName>
    <definedName name="지분율투입">#REF!</definedName>
    <definedName name="직영비" localSheetId="1">#REF!</definedName>
    <definedName name="직영비">#REF!</definedName>
    <definedName name="직재" localSheetId="1">#REF!</definedName>
    <definedName name="직재">#REF!</definedName>
    <definedName name="직종" localSheetId="1">#REF!</definedName>
    <definedName name="직종">#REF!</definedName>
    <definedName name="진동로라">250000</definedName>
    <definedName name="집" localSheetId="1">#REF!</definedName>
    <definedName name="집">#REF!</definedName>
    <definedName name="집계" localSheetId="1">#REF!</definedName>
    <definedName name="집계">#REF!</definedName>
    <definedName name="집수정탱크" localSheetId="1">#REF!</definedName>
    <definedName name="집수정탱크">#REF!</definedName>
    <definedName name="ㅊ폴" localSheetId="1" hidden="1">{#N/A,#N/A,FALSE,"Sheet6"}</definedName>
    <definedName name="ㅊ폴" hidden="1">{#N/A,#N/A,FALSE,"Sheet6"}</definedName>
    <definedName name="착공" localSheetId="1">#REF!</definedName>
    <definedName name="착공">#REF!</definedName>
    <definedName name="창" localSheetId="1">#REF!</definedName>
    <definedName name="창">#REF!</definedName>
    <definedName name="채권손실" localSheetId="1">#REF!</definedName>
    <definedName name="채권손실">#REF!</definedName>
    <definedName name="채권연이율" localSheetId="1">#REF!</definedName>
    <definedName name="채권연이율">#REF!</definedName>
    <definedName name="채권율" localSheetId="1">#REF!</definedName>
    <definedName name="채권율">#REF!</definedName>
    <definedName name="철간접" localSheetId="1">#REF!</definedName>
    <definedName name="철간접">#REF!</definedName>
    <definedName name="철건설" localSheetId="1">#REF!</definedName>
    <definedName name="철건설">#REF!</definedName>
    <definedName name="철경비" localSheetId="1">#REF!</definedName>
    <definedName name="철경비">#REF!</definedName>
    <definedName name="철관리" localSheetId="1">#REF!</definedName>
    <definedName name="철관리">#REF!</definedName>
    <definedName name="철보험" localSheetId="1">#REF!</definedName>
    <definedName name="철보험">#REF!</definedName>
    <definedName name="철부가" localSheetId="1">#REF!</definedName>
    <definedName name="철부가">#REF!</definedName>
    <definedName name="철안전" localSheetId="1">#REF!</definedName>
    <definedName name="철안전">#REF!</definedName>
    <definedName name="철이윤" localSheetId="1">#REF!</definedName>
    <definedName name="철이윤">#REF!</definedName>
    <definedName name="철콘부대외" localSheetId="1" hidden="1">{#N/A,#N/A,FALSE,"Sheet1"}</definedName>
    <definedName name="철콘부대외" hidden="1">{#N/A,#N/A,FALSE,"Sheet1"}</definedName>
    <definedName name="총괄" localSheetId="1">#REF!</definedName>
    <definedName name="총괄">#REF!</definedName>
    <definedName name="총연" localSheetId="1">#REF!</definedName>
    <definedName name="총연">#REF!</definedName>
    <definedName name="충돌">#N/A</definedName>
    <definedName name="츄ㅗㄹㅊㄹ초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케노피" localSheetId="1">#REF!</definedName>
    <definedName name="케노피">#REF!</definedName>
    <definedName name="ㅌㅍㅊㅇㅌㅎ" localSheetId="1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이어로라">250000</definedName>
    <definedName name="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터파기깊이" localSheetId="1">#REF!</definedName>
    <definedName name="터파기깊이">#REF!</definedName>
    <definedName name="터파기반경" localSheetId="1">#REF!</definedName>
    <definedName name="터파기반경">#REF!</definedName>
    <definedName name="터파기체적" localSheetId="1">#REF!</definedName>
    <definedName name="터파기체적">#REF!</definedName>
    <definedName name="토간접" localSheetId="1">#REF!</definedName>
    <definedName name="토간접">#REF!</definedName>
    <definedName name="토경비" localSheetId="1">#REF!</definedName>
    <definedName name="토경비">#REF!</definedName>
    <definedName name="토관리" localSheetId="1">#REF!</definedName>
    <definedName name="토관리">#REF!</definedName>
    <definedName name="토목" localSheetId="1">#REF!</definedName>
    <definedName name="토목">#REF!</definedName>
    <definedName name="토보험" localSheetId="1">#REF!</definedName>
    <definedName name="토보험">#REF!</definedName>
    <definedName name="토부가" localSheetId="1">#REF!</definedName>
    <definedName name="토부가">#REF!</definedName>
    <definedName name="토안전" localSheetId="1">#REF!</definedName>
    <definedName name="토안전">#REF!</definedName>
    <definedName name="토이윤" localSheetId="1">#REF!</definedName>
    <definedName name="토이윤">#REF!</definedName>
    <definedName name="퇴직" localSheetId="1">#REF!</definedName>
    <definedName name="퇴직">#REF!</definedName>
    <definedName name="평당" localSheetId="1">#REF!</definedName>
    <definedName name="평당">#REF!</definedName>
    <definedName name="평화설비" localSheetId="1">#REF!</definedName>
    <definedName name="평화설비">#REF!</definedName>
    <definedName name="품_______">#N/A</definedName>
    <definedName name="품_______________명" localSheetId="1">#REF!</definedName>
    <definedName name="품_______________명">#REF!</definedName>
    <definedName name="품명" localSheetId="1">#REF!</definedName>
    <definedName name="품명">#REF!</definedName>
    <definedName name="플라타너스B8" localSheetId="1">#REF!</definedName>
    <definedName name="플라타너스B8">#REF!</definedName>
    <definedName name="피간접" localSheetId="1">#REF!</definedName>
    <definedName name="피간접">#REF!</definedName>
    <definedName name="피경비" localSheetId="1">#REF!</definedName>
    <definedName name="피경비">#REF!</definedName>
    <definedName name="피관리" localSheetId="1">#REF!</definedName>
    <definedName name="피관리">#REF!</definedName>
    <definedName name="피보험" localSheetId="1">#REF!</definedName>
    <definedName name="피보험">#REF!</definedName>
    <definedName name="피부가" localSheetId="1">#REF!</definedName>
    <definedName name="피부가">#REF!</definedName>
    <definedName name="피안전" localSheetId="1">#REF!</definedName>
    <definedName name="피안전">#REF!</definedName>
    <definedName name="피이윤" localSheetId="1">#REF!</definedName>
    <definedName name="피이윤">#REF!</definedName>
    <definedName name="ㅎ314" localSheetId="1">#REF!</definedName>
    <definedName name="ㅎ314">#REF!</definedName>
    <definedName name="ㅎ384" localSheetId="1">#REF!</definedName>
    <definedName name="ㅎ384">#REF!</definedName>
    <definedName name="ㅎㅎ">#N/A</definedName>
    <definedName name="ㅎㅎㅎ" localSheetId="1">#REF!</definedName>
    <definedName name="ㅎㅎㅎ">#REF!</definedName>
    <definedName name="ㅎㅎㅎㅎㅎㅎㅎ" localSheetId="1" hidden="1">{#N/A,#N/A,FALSE,"교리2"}</definedName>
    <definedName name="ㅎㅎㅎㅎㅎㅎㅎ" hidden="1">{#N/A,#N/A,FALSE,"교리2"}</definedName>
    <definedName name="합_______________계" localSheetId="1">#REF!</definedName>
    <definedName name="합_______________계">#REF!</definedName>
    <definedName name="합_______계" localSheetId="1">#REF!</definedName>
    <definedName name="합_______계">#REF!</definedName>
    <definedName name="합계" localSheetId="1">#REF!</definedName>
    <definedName name="합계">#REF!</definedName>
    <definedName name="합의실행율" localSheetId="1">#REF!</definedName>
    <definedName name="합의실행율">#REF!</definedName>
    <definedName name="行見出し" localSheetId="1">#REF!</definedName>
    <definedName name="行見出し">#REF!</definedName>
    <definedName name="허" localSheetId="1" hidden="1">{#N/A,#N/A,FALSE,"Sheet6"}</definedName>
    <definedName name="허" hidden="1">{#N/A,#N/A,FALSE,"Sheet6"}</definedName>
    <definedName name="현대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>#REF!</definedName>
    <definedName name="현장">#REF!</definedName>
    <definedName name="현장명" localSheetId="1">#REF!</definedName>
    <definedName name="현장명">#REF!</definedName>
    <definedName name="현재가치" localSheetId="1">#REF!</definedName>
    <definedName name="현재가치">#REF!</definedName>
    <definedName name="형광등32W_1" localSheetId="1">#REF!</definedName>
    <definedName name="형광등32W_1">#REF!</definedName>
    <definedName name="형광등32W_2" localSheetId="1">#REF!</definedName>
    <definedName name="형광등32W_2">#REF!</definedName>
    <definedName name="형광등40W_1" localSheetId="1">#REF!</definedName>
    <definedName name="형광등40W_1">#REF!</definedName>
    <definedName name="형광등40W_2" localSheetId="1">#REF!</definedName>
    <definedName name="형광등40W_2">#REF!</definedName>
    <definedName name="홇" localSheetId="1" hidden="1">{#N/A,#N/A,FALSE,"Sheet6"}</definedName>
    <definedName name="홇" hidden="1">{#N/A,#N/A,FALSE,"Sheet6"}</definedName>
    <definedName name="홋ㄱ" localSheetId="1" hidden="1">{#N/A,#N/A,FALSE,"Sheet6"}</definedName>
    <definedName name="홋ㄱ" hidden="1">{#N/A,#N/A,FALSE,"Sheet6"}</definedName>
    <definedName name="휘니셔">750000</definedName>
    <definedName name="ㅏㅓㅏ" localSheetId="1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3081" localSheetId="1">#REF!</definedName>
    <definedName name="ㅑ3081">#REF!</definedName>
    <definedName name="ㅑㅑㅑㅑㅑㅑㅑ" localSheetId="1" hidden="1">{#N/A,#N/A,FALSE,"Sheet6"}</definedName>
    <definedName name="ㅑㅑㅑㅑㅑㅑㅑ" hidden="1">{#N/A,#N/A,FALSE,"Sheet6"}</definedName>
    <definedName name="ㅓㅕㅏ" localSheetId="1" hidden="1">{#N/A,#N/A,FALSE,"Sheet6"}</definedName>
    <definedName name="ㅓㅕㅏ" hidden="1">{#N/A,#N/A,FALSE,"Sheet6"}</definedName>
    <definedName name="ㅕㅏ쇼" localSheetId="1" hidden="1">{#N/A,#N/A,FALSE,"Sheet6"}</definedName>
    <definedName name="ㅕㅏ쇼" hidden="1">{#N/A,#N/A,FALSE,"Sheet6"}</definedName>
    <definedName name="ㅕㅏㅛㅕㅏ" localSheetId="1" hidden="1">{#N/A,#N/A,FALSE,"Sheet6"}</definedName>
    <definedName name="ㅕㅏㅛㅕㅏ" hidden="1">{#N/A,#N/A,FALSE,"Sheet6"}</definedName>
    <definedName name="ㅕㅑㅐ" localSheetId="1" hidden="1">{#N/A,#N/A,FALSE,"Sheet6"}</definedName>
    <definedName name="ㅕㅑㅐ" hidden="1">{#N/A,#N/A,FALSE,"Sheet6"}</definedName>
    <definedName name="ㅗㅓㅕㅑㅕ" localSheetId="1" hidden="1">{#N/A,#N/A,FALSE,"Sheet6"}</definedName>
    <definedName name="ㅗㅓㅕㅑㅕ" hidden="1">{#N/A,#N/A,FALSE,"Sheet6"}</definedName>
    <definedName name="ㅗㅓㅛㅎ" localSheetId="1" hidden="1">{#N/A,#N/A,FALSE,"Sheet6"}</definedName>
    <definedName name="ㅗㅓㅛㅎ" hidden="1">{#N/A,#N/A,FALSE,"Sheet6"}</definedName>
    <definedName name="ㅗㅗㅗ" localSheetId="1">#REF!</definedName>
    <definedName name="ㅗㅗㅗ">#REF!</definedName>
    <definedName name="ㅛ셔쇼ㅕ" localSheetId="1" hidden="1">{#N/A,#N/A,FALSE,"Sheet6"}</definedName>
    <definedName name="ㅛ셔쇼ㅕ" hidden="1">{#N/A,#N/A,FALSE,"Sheet6"}</definedName>
    <definedName name="ㅛㅓ쇼" localSheetId="1" hidden="1">{#N/A,#N/A,FALSE,"Sheet6"}</definedName>
    <definedName name="ㅛㅓ쇼" hidden="1">{#N/A,#N/A,FALSE,"Sheet6"}</definedName>
    <definedName name="ㅜㅠㅓ.허" localSheetId="1">#REF!</definedName>
    <definedName name="ㅜㅠㅓ.허">#REF!</definedName>
    <definedName name="ㅠㅜㅛ" localSheetId="1" hidden="1">{#N/A,#N/A,FALSE,"Sheet6"}</definedName>
    <definedName name="ㅠㅜㅛ" hidden="1">{#N/A,#N/A,FALSE,"Sheet6"}</definedName>
    <definedName name="ㅡㅏㅓㅠㅓㅗㅍ" hidden="1">{#N/A,#N/A,FALSE,"변경관리예산";#N/A,#N/A,FALSE,"변경장비예산";#N/A,#N/A,FALSE,"변경준설예산";#N/A,#N/A,FALSE,"변경철구예산"}</definedName>
    <definedName name="ㅣㅣ" localSheetId="1" hidden="1">{#N/A,#N/A,FALSE,"물가변동 (2)";#N/A,#N/A,FALSE,"공사비";#N/A,#N/A,FALSE,"사급";#N/A,#N/A,FALSE,"도급집계";#N/A,#N/A,FALSE,"재료비";#N/A,#N/A,FALSE,"노무비";#N/A,#N/A,FALSE,"경비"}</definedName>
    <definedName name="ㅣㅣ" hidden="1">{#N/A,#N/A,FALSE,"물가변동 (2)";#N/A,#N/A,FALSE,"공사비";#N/A,#N/A,FALSE,"사급";#N/A,#N/A,FALSE,"도급집계";#N/A,#N/A,FALSE,"재료비";#N/A,#N/A,FALSE,"노무비";#N/A,#N/A,FALSE,"경비"}</definedName>
    <definedName name="ㅣㅣㅣㅣ" localSheetId="1">#REF!</definedName>
    <definedName name="ㅣ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F15" i="2"/>
  <c r="S30" i="5"/>
  <c r="S14" i="5"/>
  <c r="R30" i="5"/>
  <c r="O30" i="5"/>
  <c r="R29" i="5"/>
  <c r="R4" i="5"/>
  <c r="H16" i="2"/>
  <c r="H17" i="2"/>
  <c r="H18" i="2"/>
  <c r="H19" i="2"/>
  <c r="R24" i="5"/>
  <c r="S24" i="5" s="1"/>
  <c r="R32" i="5"/>
  <c r="S32" i="5" s="1"/>
  <c r="Q32" i="5"/>
  <c r="O32" i="5"/>
  <c r="R31" i="5"/>
  <c r="S31" i="5" s="1"/>
  <c r="Q31" i="5"/>
  <c r="O31" i="5"/>
  <c r="R58" i="5"/>
  <c r="S58" i="5" s="1"/>
  <c r="Q58" i="5"/>
  <c r="O58" i="5"/>
  <c r="R57" i="5"/>
  <c r="S57" i="5" s="1"/>
  <c r="Q57" i="5"/>
  <c r="O57" i="5"/>
  <c r="R56" i="5"/>
  <c r="S56" i="5" s="1"/>
  <c r="Q56" i="5"/>
  <c r="O56" i="5"/>
  <c r="R55" i="5"/>
  <c r="S55" i="5" s="1"/>
  <c r="Q55" i="5"/>
  <c r="O55" i="5"/>
  <c r="R54" i="5"/>
  <c r="S54" i="5" s="1"/>
  <c r="Q54" i="5"/>
  <c r="O54" i="5"/>
  <c r="R53" i="5"/>
  <c r="S53" i="5" s="1"/>
  <c r="Q53" i="5"/>
  <c r="O53" i="5"/>
  <c r="R46" i="5"/>
  <c r="S46" i="5" s="1"/>
  <c r="Q46" i="5"/>
  <c r="O46" i="5"/>
  <c r="R45" i="5"/>
  <c r="S45" i="5" s="1"/>
  <c r="Q45" i="5"/>
  <c r="O45" i="5"/>
  <c r="R43" i="5"/>
  <c r="S43" i="5" s="1"/>
  <c r="Q43" i="5"/>
  <c r="O43" i="5"/>
  <c r="R42" i="5"/>
  <c r="S42" i="5" s="1"/>
  <c r="Q42" i="5"/>
  <c r="O42" i="5"/>
  <c r="Q52" i="5"/>
  <c r="O52" i="5"/>
  <c r="R51" i="5"/>
  <c r="S51" i="5" s="1"/>
  <c r="Q51" i="5"/>
  <c r="O51" i="5"/>
  <c r="R50" i="5"/>
  <c r="S50" i="5" s="1"/>
  <c r="Q50" i="5"/>
  <c r="O50" i="5"/>
  <c r="R49" i="5"/>
  <c r="S49" i="5" s="1"/>
  <c r="Q49" i="5"/>
  <c r="O49" i="5"/>
  <c r="R48" i="5"/>
  <c r="S48" i="5" s="1"/>
  <c r="Q48" i="5"/>
  <c r="O48" i="5"/>
  <c r="R47" i="5"/>
  <c r="S47" i="5" s="1"/>
  <c r="Q47" i="5"/>
  <c r="O47" i="5"/>
  <c r="R44" i="5"/>
  <c r="S44" i="5" s="1"/>
  <c r="Q44" i="5"/>
  <c r="O44" i="5"/>
  <c r="R41" i="5"/>
  <c r="S41" i="5" s="1"/>
  <c r="Q41" i="5"/>
  <c r="O41" i="5"/>
  <c r="R40" i="5"/>
  <c r="S40" i="5" s="1"/>
  <c r="Q40" i="5"/>
  <c r="O40" i="5"/>
  <c r="R39" i="5"/>
  <c r="S39" i="5" s="1"/>
  <c r="Q39" i="5"/>
  <c r="O39" i="5"/>
  <c r="R38" i="5"/>
  <c r="S38" i="5" s="1"/>
  <c r="Q38" i="5"/>
  <c r="O38" i="5"/>
  <c r="R37" i="5"/>
  <c r="S37" i="5" s="1"/>
  <c r="Q37" i="5"/>
  <c r="O37" i="5"/>
  <c r="R36" i="5"/>
  <c r="S36" i="5" s="1"/>
  <c r="Q36" i="5"/>
  <c r="O36" i="5"/>
  <c r="R35" i="5"/>
  <c r="S35" i="5" s="1"/>
  <c r="Q35" i="5"/>
  <c r="O35" i="5"/>
  <c r="R34" i="5"/>
  <c r="S34" i="5" s="1"/>
  <c r="Q34" i="5"/>
  <c r="O34" i="5"/>
  <c r="R33" i="5"/>
  <c r="S33" i="5" s="1"/>
  <c r="Q33" i="5"/>
  <c r="O33" i="5"/>
  <c r="R23" i="5"/>
  <c r="S23" i="5" s="1"/>
  <c r="Q23" i="5"/>
  <c r="O23" i="5"/>
  <c r="R18" i="5"/>
  <c r="S18" i="5" s="1"/>
  <c r="Q18" i="5"/>
  <c r="O18" i="5"/>
  <c r="R17" i="5"/>
  <c r="S17" i="5" s="1"/>
  <c r="Q17" i="5"/>
  <c r="O17" i="5"/>
  <c r="R16" i="5"/>
  <c r="S16" i="5" s="1"/>
  <c r="Q16" i="5"/>
  <c r="O16" i="5"/>
  <c r="R15" i="5"/>
  <c r="S15" i="5" s="1"/>
  <c r="Q15" i="5"/>
  <c r="O15" i="5"/>
  <c r="R14" i="5"/>
  <c r="Q14" i="5"/>
  <c r="O14" i="5"/>
  <c r="H20" i="2" l="1"/>
  <c r="Q30" i="5"/>
  <c r="S29" i="5" s="1"/>
  <c r="Q29" i="5"/>
  <c r="O29" i="5"/>
  <c r="O25" i="5"/>
  <c r="O26" i="5"/>
  <c r="O27" i="5"/>
  <c r="O28" i="5"/>
  <c r="O24" i="5"/>
  <c r="R25" i="5"/>
  <c r="S25" i="5" s="1"/>
  <c r="R26" i="5"/>
  <c r="S26" i="5" s="1"/>
  <c r="R27" i="5"/>
  <c r="S27" i="5" s="1"/>
  <c r="R28" i="5"/>
  <c r="S28" i="5" s="1"/>
  <c r="Q25" i="5"/>
  <c r="Q26" i="5"/>
  <c r="Q27" i="5"/>
  <c r="Q28" i="5"/>
  <c r="Q24" i="5"/>
  <c r="O19" i="5"/>
  <c r="O20" i="5"/>
  <c r="O21" i="5"/>
  <c r="O22" i="5"/>
  <c r="R19" i="5"/>
  <c r="S19" i="5" s="1"/>
  <c r="R20" i="5"/>
  <c r="S20" i="5" s="1"/>
  <c r="R21" i="5"/>
  <c r="S21" i="5" s="1"/>
  <c r="R22" i="5"/>
  <c r="S22" i="5" s="1"/>
  <c r="S4" i="5"/>
  <c r="R5" i="5"/>
  <c r="S5" i="5" s="1"/>
  <c r="R6" i="5"/>
  <c r="S6" i="5" s="1"/>
  <c r="R7" i="5"/>
  <c r="S7" i="5" s="1"/>
  <c r="R8" i="5"/>
  <c r="S8" i="5" s="1"/>
  <c r="R9" i="5"/>
  <c r="S9" i="5" s="1"/>
  <c r="R10" i="5"/>
  <c r="S10" i="5" s="1"/>
  <c r="R11" i="5"/>
  <c r="S11" i="5" s="1"/>
  <c r="R12" i="5"/>
  <c r="S12" i="5" s="1"/>
  <c r="R13" i="5"/>
  <c r="S13" i="5" s="1"/>
  <c r="R3" i="5"/>
  <c r="S3" i="5" s="1"/>
  <c r="Q19" i="5"/>
  <c r="Q20" i="5"/>
  <c r="Q21" i="5"/>
  <c r="Q22" i="5"/>
  <c r="Q4" i="5"/>
  <c r="Q5" i="5"/>
  <c r="Q6" i="5"/>
  <c r="Q7" i="5"/>
  <c r="Q8" i="5"/>
  <c r="Q9" i="5"/>
  <c r="Q10" i="5"/>
  <c r="Q11" i="5"/>
  <c r="Q12" i="5"/>
  <c r="Q13" i="5"/>
  <c r="Q3" i="5"/>
  <c r="O4" i="5"/>
  <c r="O5" i="5"/>
  <c r="O6" i="5"/>
  <c r="O7" i="5"/>
  <c r="O8" i="5"/>
  <c r="O9" i="5"/>
  <c r="O10" i="5"/>
  <c r="O11" i="5"/>
  <c r="O12" i="5"/>
  <c r="O13" i="5"/>
  <c r="O3" i="5"/>
  <c r="D10" i="2" l="1"/>
  <c r="B10" i="2" s="1"/>
</calcChain>
</file>

<file path=xl/sharedStrings.xml><?xml version="1.0" encoding="utf-8"?>
<sst xmlns="http://schemas.openxmlformats.org/spreadsheetml/2006/main" count="151" uniqueCount="89">
  <si>
    <t>납        기 : 추후협의</t>
  </si>
  <si>
    <t>합            계</t>
  </si>
  <si>
    <t>품                 명</t>
  </si>
  <si>
    <t>견적유효기간 : 견적일로 부터 15일</t>
  </si>
  <si>
    <t>제품인수장소 : 추후협의</t>
  </si>
  <si>
    <t>금         액</t>
  </si>
  <si>
    <t>규     격</t>
  </si>
  <si>
    <t>비      고</t>
  </si>
  <si>
    <t>단 위</t>
  </si>
  <si>
    <t>수 량</t>
  </si>
  <si>
    <t>단 가</t>
  </si>
  <si>
    <t>금  액</t>
  </si>
  <si>
    <t>단위</t>
  </si>
  <si>
    <t>구분</t>
    <phoneticPr fontId="12" type="noConversion"/>
  </si>
  <si>
    <t>품명</t>
    <phoneticPr fontId="12" type="noConversion"/>
  </si>
  <si>
    <t>규격</t>
    <phoneticPr fontId="12" type="noConversion"/>
  </si>
  <si>
    <t>수량</t>
    <phoneticPr fontId="12" type="noConversion"/>
  </si>
  <si>
    <t>산출물량</t>
    <phoneticPr fontId="12" type="noConversion"/>
  </si>
  <si>
    <t>재료비</t>
    <phoneticPr fontId="12" type="noConversion"/>
  </si>
  <si>
    <t>노무비</t>
    <phoneticPr fontId="12" type="noConversion"/>
  </si>
  <si>
    <t>합계</t>
    <phoneticPr fontId="12" type="noConversion"/>
  </si>
  <si>
    <t>비고</t>
    <phoneticPr fontId="12" type="noConversion"/>
  </si>
  <si>
    <t>층</t>
    <phoneticPr fontId="20" type="noConversion"/>
  </si>
  <si>
    <t>실명</t>
    <phoneticPr fontId="20" type="noConversion"/>
  </si>
  <si>
    <t>부위</t>
    <phoneticPr fontId="20" type="noConversion"/>
  </si>
  <si>
    <t>외주</t>
    <phoneticPr fontId="20" type="noConversion"/>
  </si>
  <si>
    <t>자재</t>
    <phoneticPr fontId="20" type="noConversion"/>
  </si>
  <si>
    <t>No</t>
    <phoneticPr fontId="12" type="noConversion"/>
  </si>
  <si>
    <t>DESCRIPTION</t>
    <phoneticPr fontId="12" type="noConversion"/>
  </si>
  <si>
    <t>SIZE</t>
    <phoneticPr fontId="12" type="noConversion"/>
  </si>
  <si>
    <t>UNIT</t>
    <phoneticPr fontId="12" type="noConversion"/>
  </si>
  <si>
    <t>Q'TY</t>
    <phoneticPr fontId="12" type="noConversion"/>
  </si>
  <si>
    <t>단가</t>
    <phoneticPr fontId="12" type="noConversion"/>
  </si>
  <si>
    <t>금액</t>
    <phoneticPr fontId="12" type="noConversion"/>
  </si>
  <si>
    <t>NOTE</t>
    <phoneticPr fontId="12" type="noConversion"/>
  </si>
  <si>
    <t>*</t>
    <phoneticPr fontId="20" type="noConversion"/>
  </si>
  <si>
    <t xml:space="preserve"> </t>
    <phoneticPr fontId="12" type="noConversion"/>
  </si>
  <si>
    <t xml:space="preserve"> </t>
    <phoneticPr fontId="12" type="noConversion"/>
  </si>
  <si>
    <t xml:space="preserve"> :  계약금30%중도금60%시운전완료후10%</t>
    <phoneticPr fontId="12" type="noConversion"/>
  </si>
  <si>
    <t xml:space="preserve"> </t>
    <phoneticPr fontId="20" type="noConversion"/>
  </si>
  <si>
    <t xml:space="preserve"> </t>
    <phoneticPr fontId="12" type="noConversion"/>
  </si>
  <si>
    <r>
      <t>L</t>
    </r>
    <r>
      <rPr>
        <sz val="11"/>
        <color rgb="FF000000"/>
        <rFont val="맑은 고딕"/>
        <family val="3"/>
        <charset val="129"/>
      </rPr>
      <t>G시스템에어컨  설치공사</t>
    </r>
    <phoneticPr fontId="12" type="noConversion"/>
  </si>
  <si>
    <t>VAT별도</t>
    <phoneticPr fontId="12" type="noConversion"/>
  </si>
  <si>
    <t xml:space="preserve"> </t>
    <phoneticPr fontId="12" type="noConversion"/>
  </si>
  <si>
    <t>합계</t>
    <phoneticPr fontId="12" type="noConversion"/>
  </si>
  <si>
    <t>`</t>
    <phoneticPr fontId="12" type="noConversion"/>
  </si>
  <si>
    <t>주소:경기도하남시 감이남로66-2</t>
    <phoneticPr fontId="12" type="noConversion"/>
  </si>
  <si>
    <t xml:space="preserve">담당HP :            010-5484-3312 </t>
    <phoneticPr fontId="12" type="noConversion"/>
  </si>
  <si>
    <t>TEL :            02-483-4148</t>
    <phoneticPr fontId="12" type="noConversion"/>
  </si>
  <si>
    <t>FAX :            02-483-4147</t>
    <phoneticPr fontId="12" type="noConversion"/>
  </si>
  <si>
    <t>E :                  hituch@nate.com</t>
    <phoneticPr fontId="12" type="noConversion"/>
  </si>
  <si>
    <t xml:space="preserve">            대운공조시스템</t>
    <phoneticPr fontId="12" type="noConversion"/>
  </si>
  <si>
    <t>본 견적서는 필요시 약식 계약서 내지는 설치의뢰로 갈음 할수있슴니다</t>
    <phoneticPr fontId="12" type="noConversion"/>
  </si>
  <si>
    <t xml:space="preserve">         1) 반입, 설치 및 시운전 포함</t>
    <phoneticPr fontId="12" type="noConversion"/>
  </si>
  <si>
    <t xml:space="preserve">         2) (1, 2차 전기공사 제외)- 발주처 시공조건</t>
    <phoneticPr fontId="12" type="noConversion"/>
  </si>
  <si>
    <t xml:space="preserve">         3) 천장마감이 텍스가 아닌경우 점검구 별도임.</t>
    <phoneticPr fontId="12" type="noConversion"/>
  </si>
  <si>
    <t xml:space="preserve">         4) 기타 견적외 사항은 별도임.</t>
    <phoneticPr fontId="12" type="noConversion"/>
  </si>
  <si>
    <t xml:space="preserve">   </t>
    <phoneticPr fontId="12" type="noConversion"/>
  </si>
  <si>
    <t>계 약 조 건 : 추후협의</t>
    <phoneticPr fontId="12" type="noConversion"/>
  </si>
  <si>
    <t xml:space="preserve">         5) </t>
    <phoneticPr fontId="12" type="noConversion"/>
  </si>
  <si>
    <t xml:space="preserve"> </t>
    <phoneticPr fontId="12" type="noConversion"/>
  </si>
  <si>
    <t>입금계좌번호: 농협: 204075-51-058369 김영필</t>
    <phoneticPr fontId="12" type="noConversion"/>
  </si>
  <si>
    <t>DVM S ECO실외기</t>
    <phoneticPr fontId="12" type="noConversion"/>
  </si>
  <si>
    <t>AM040BXMDHH1</t>
    <phoneticPr fontId="12" type="noConversion"/>
  </si>
  <si>
    <t>EA</t>
    <phoneticPr fontId="12" type="noConversion"/>
  </si>
  <si>
    <t>DVM S 고정압 덕트</t>
    <phoneticPr fontId="12" type="noConversion"/>
  </si>
  <si>
    <t>AM110ANHDBH1</t>
    <phoneticPr fontId="12" type="noConversion"/>
  </si>
  <si>
    <t>유선리모컨</t>
    <phoneticPr fontId="12" type="noConversion"/>
  </si>
  <si>
    <t>AWR-WE13N</t>
    <phoneticPr fontId="12" type="noConversion"/>
  </si>
  <si>
    <t>덕트 드레인 펌프</t>
    <phoneticPr fontId="12" type="noConversion"/>
  </si>
  <si>
    <t>ADP-G075SPK1D</t>
    <phoneticPr fontId="12" type="noConversion"/>
  </si>
  <si>
    <t>유연호스 크램프</t>
    <phoneticPr fontId="12" type="noConversion"/>
  </si>
  <si>
    <t>실외기 받침대</t>
    <phoneticPr fontId="12" type="noConversion"/>
  </si>
  <si>
    <t>삼상380V</t>
    <phoneticPr fontId="12" type="noConversion"/>
  </si>
  <si>
    <t>배관공사</t>
    <phoneticPr fontId="12" type="noConversion"/>
  </si>
  <si>
    <t>M</t>
    <phoneticPr fontId="12" type="noConversion"/>
  </si>
  <si>
    <t>15   9</t>
    <phoneticPr fontId="12" type="noConversion"/>
  </si>
  <si>
    <t>실내기 설치공사</t>
    <phoneticPr fontId="12" type="noConversion"/>
  </si>
  <si>
    <t>실외기 설치공사</t>
    <phoneticPr fontId="12" type="noConversion"/>
  </si>
  <si>
    <t>시운전,냉매 충진</t>
    <phoneticPr fontId="12" type="noConversion"/>
  </si>
  <si>
    <t>흡입챔버</t>
    <phoneticPr fontId="12" type="noConversion"/>
  </si>
  <si>
    <t>토출챔버</t>
    <phoneticPr fontId="12" type="noConversion"/>
  </si>
  <si>
    <t>흡입그릴</t>
    <phoneticPr fontId="12" type="noConversion"/>
  </si>
  <si>
    <t>후렉시볼,디퓾져  별도견적</t>
    <phoneticPr fontId="12" type="noConversion"/>
  </si>
  <si>
    <t>드레인공사</t>
    <phoneticPr fontId="12" type="noConversion"/>
  </si>
  <si>
    <t>식</t>
    <phoneticPr fontId="12" type="noConversion"/>
  </si>
  <si>
    <t>기타 잡자재</t>
    <phoneticPr fontId="12" type="noConversion"/>
  </si>
  <si>
    <r>
      <rPr>
        <b/>
        <sz val="14"/>
        <color rgb="FFFF0000"/>
        <rFont val="굴림체"/>
        <family val="3"/>
        <charset val="129"/>
      </rPr>
      <t>■</t>
    </r>
    <r>
      <rPr>
        <b/>
        <sz val="14"/>
        <color rgb="FF000000"/>
        <rFont val="굴림체"/>
        <family val="3"/>
        <charset val="129"/>
      </rPr>
      <t xml:space="preserve"> 공사:우림 건설 종로현장</t>
    </r>
    <phoneticPr fontId="12" type="noConversion"/>
  </si>
  <si>
    <r>
      <t xml:space="preserve">1.2.3 싱글형 매립덕트공사 </t>
    </r>
    <r>
      <rPr>
        <sz val="11"/>
        <color rgb="FF0070C0"/>
        <rFont val="굴림체"/>
        <family val="3"/>
        <charset val="129"/>
      </rPr>
      <t>삼성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</si>
</sst>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1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₩&quot;\ #,##0\ "/>
    <numFmt numFmtId="177" formatCode="#,##0_ "/>
    <numFmt numFmtId="178" formatCode="#,##0.00_ "/>
    <numFmt numFmtId="179" formatCode="0.0%"/>
    <numFmt numFmtId="180" formatCode="_-* #,##0_-;\-* #,##0_-;_-* &quot;-&quot;??_-;_-@_-"/>
    <numFmt numFmtId="181" formatCode="_ * #,##0.00_ ;_ * \-#,##0.00_ ;_ * &quot;-&quot;_ ;_ @_ "/>
    <numFmt numFmtId="182" formatCode="#,##0_ ;[Red]&quot;△&quot;#,##0\ "/>
    <numFmt numFmtId="183" formatCode="_ * #,##0_ ;_ * \-#,##0_ ;_ * &quot;-&quot;_ ;_ @_ "/>
    <numFmt numFmtId="184" formatCode="_-* #,##0_-;\-* #,##0_-;_-* &quot;&quot;_-;_-@_-"/>
    <numFmt numFmtId="185" formatCode="&quot;(&quot;###.00&quot;)&quot;"/>
    <numFmt numFmtId="186" formatCode="#,##0_);[Red]\(#,##0\)"/>
    <numFmt numFmtId="187" formatCode="&quot;₩&quot;#,##0.00;[Red]&quot;₩&quot;\-#,##0.00"/>
    <numFmt numFmtId="188" formatCode="\ "/>
    <numFmt numFmtId="189" formatCode="0.0_);[Red]\(0.0\)"/>
    <numFmt numFmtId="190" formatCode="\(##,#00"/>
    <numFmt numFmtId="191" formatCode="0.0"/>
    <numFmt numFmtId="192" formatCode="#."/>
    <numFmt numFmtId="193" formatCode="_-* #,##0.000_-;\-* #,##0.000_-;_-* &quot;-&quot;_-;_-@_-"/>
    <numFmt numFmtId="194" formatCode="_ * #,##0.00_ ;_ * &quot;₩&quot;&quot;₩&quot;&quot;₩&quot;&quot;₩&quot;&quot;₩&quot;&quot;₩&quot;&quot;₩&quot;\-#,##0.00_ ;_ * &quot;-&quot;??_ ;_ @_ "/>
    <numFmt numFmtId="195" formatCode="&quot;₩&quot;#,##0;[Red]&quot;₩&quot;&quot;₩&quot;&quot;₩&quot;&quot;₩&quot;&quot;₩&quot;&quot;₩&quot;&quot;₩&quot;&quot;₩&quot;\-#,##0"/>
    <numFmt numFmtId="196" formatCode="[Red]\+#;[Red]\-#;[Red]0"/>
    <numFmt numFmtId="197" formatCode="mm&quot;월&quot;\ dd&quot;일&quot;"/>
    <numFmt numFmtId="198" formatCode="#,##0;[Red]&quot;△&quot;#,##0"/>
    <numFmt numFmtId="199" formatCode="_-* #,##0.0_-;\-* #,##0.0_-;_-* &quot;-&quot;??_-;_-@_-"/>
    <numFmt numFmtId="200" formatCode="&quot;₩&quot;#,##0;&quot;₩&quot;&quot;₩&quot;&quot;₩&quot;&quot;₩&quot;&quot;₩&quot;\-#,##0"/>
    <numFmt numFmtId="201" formatCode="#,##0;[Red]&quot;-&quot;#,##0"/>
    <numFmt numFmtId="202" formatCode="0.0000"/>
    <numFmt numFmtId="203" formatCode="_(* #,##0_);_(* \(#,##0\);_(* &quot;-&quot;_);_(@_)"/>
    <numFmt numFmtId="204" formatCode="0.000"/>
    <numFmt numFmtId="205" formatCode="_ &quot;₩&quot;* #,##0_ ;_ &quot;₩&quot;* \-#,##0_ ;_ &quot;₩&quot;* &quot;-&quot;_ ;_ @_ "/>
    <numFmt numFmtId="206" formatCode="_ &quot;₩&quot;\ * #,##0_ ;_ &quot;₩&quot;\ * \-#,##0_ ;_ &quot;₩&quot;\ * &quot;-&quot;_ ;_ @_ "/>
    <numFmt numFmtId="207" formatCode="_(&quot;$&quot;* #,##0_);_(&quot;$&quot;* \(#,##0\);_(&quot;$&quot;* &quot;-&quot;_);_(@_)"/>
    <numFmt numFmtId="208" formatCode="_ &quot;₩&quot;* #,##0.00_ ;_ &quot;₩&quot;* \-#,##0.00_ ;_ &quot;₩&quot;* &quot;-&quot;??_ ;_ @_ "/>
    <numFmt numFmtId="209" formatCode="_ &quot;₩&quot;\ * #,##0.00_ ;_ &quot;₩&quot;\ * \-#,##0.00_ ;_ &quot;₩&quot;\ * &quot;-&quot;??_ ;_ @_ "/>
    <numFmt numFmtId="210" formatCode="_(&quot;$&quot;* #,##0.00_);_(&quot;$&quot;* \(#,##0.00\);_(&quot;$&quot;* &quot;-&quot;??_);_(@_)"/>
    <numFmt numFmtId="211" formatCode="_-* #,##0.00_-;&quot;₩&quot;&quot;₩&quot;&quot;₩&quot;\-* #,##0.00_-;_-* &quot;-&quot;??_-;_-@_-"/>
    <numFmt numFmtId="212" formatCode="_ * #,##0.00_ ;_ * \-#,##0.00_ ;_ * &quot;-&quot;??_ ;_ @_ "/>
    <numFmt numFmtId="213" formatCode="_(* #,##0.00_);_(* \(#,##0.00\);_(* &quot;-&quot;??_);_(@_)"/>
    <numFmt numFmtId="214" formatCode="&quot;₩&quot;#,##0;[Red]&quot;₩&quot;&quot;₩&quot;&quot;₩&quot;&quot;₩&quot;&quot;₩&quot;\-#,##0"/>
    <numFmt numFmtId="215" formatCode="_ &quot;$&quot;* #,##0.00_ ;_ &quot;$&quot;* \-#,##0.00_ ;_ &quot;$&quot;* &quot;-&quot;??_ ;_ @_ "/>
    <numFmt numFmtId="216" formatCode="&quot; &quot;@"/>
    <numFmt numFmtId="217" formatCode="#,##0&quot;  &quot;"/>
    <numFmt numFmtId="218" formatCode="#,##0;\-#,##0;&quot;-&quot;"/>
    <numFmt numFmtId="219" formatCode="\-\2\2\4&quot; &quot;"/>
    <numFmt numFmtId="220" formatCode="\-\1&quot; &quot;"/>
    <numFmt numFmtId="221" formatCode="\-\1\4\4&quot; &quot;"/>
    <numFmt numFmtId="222" formatCode="#,##0;\(#,##0\)"/>
    <numFmt numFmtId="223" formatCode="0.00&quot;  &quot;"/>
    <numFmt numFmtId="224" formatCode="#,##0.00000;[Red]#,##0.00000"/>
    <numFmt numFmtId="225" formatCode="&quot;₩&quot;\ #,##0.00;[Red]&quot;₩&quot;\ \-#,##0.00"/>
    <numFmt numFmtId="226" formatCode="&quot;$&quot;#,##0_);[Red]\(&quot;$&quot;#,##0\)"/>
    <numFmt numFmtId="227" formatCode="\$#,##0.00"/>
    <numFmt numFmtId="228" formatCode="#,##0.000000;[Red]#,##0.000000"/>
    <numFmt numFmtId="229" formatCode="#,##0\ \ \ \ \ "/>
    <numFmt numFmtId="230" formatCode="#,##0.00\ &quot;kr&quot;;[Red]\-#,##0.00\ &quot;kr&quot;"/>
    <numFmt numFmtId="231" formatCode="m\o\n\th\ d\,\ yyyy"/>
    <numFmt numFmtId="232" formatCode="0_ "/>
    <numFmt numFmtId="233" formatCode="_-* #,##0\ _k_r_-;\-* #,##0\ _k_r_-;_-* &quot;-&quot;\ _k_r_-;_-@_-"/>
    <numFmt numFmtId="234" formatCode="#,##0.00&quot; F&quot;_);\(#,##0.00&quot; F&quot;\)"/>
    <numFmt numFmtId="235" formatCode="_-&quot;₩&quot;* #,##0.00_-;&quot;₩&quot;&quot;₩&quot;&quot;₩&quot;\-&quot;₩&quot;* #,##0.00_-;_-&quot;₩&quot;* &quot;-&quot;??_-;_-@_-"/>
    <numFmt numFmtId="236" formatCode="&quot;₩&quot;#,##0.00;&quot;₩&quot;&quot;₩&quot;&quot;₩&quot;&quot;₩&quot;&quot;₩&quot;\-#,##0.00"/>
    <numFmt numFmtId="237" formatCode="_-[$€-2]* #,##0.00_-;\-[$€-2]* #,##0.00_-;_-[$€-2]* &quot;-&quot;??_-"/>
    <numFmt numFmtId="238" formatCode="_-&quot;€&quot;\ * #,##0.00_-;\-&quot;€&quot;\ * #,##0.00_-;_-&quot;€&quot;\ * &quot;-&quot;??_-;_-@_-"/>
    <numFmt numFmtId="239" formatCode="#.00"/>
    <numFmt numFmtId="240" formatCode="#.##"/>
    <numFmt numFmtId="241" formatCode="#,##0.0_);\(#,##0.0\)"/>
    <numFmt numFmtId="242" formatCode="_ * #,##0_ ;_ * &quot;₩&quot;&quot;₩&quot;&quot;₩&quot;&quot;₩&quot;&quot;₩&quot;&quot;₩&quot;&quot;₩&quot;\-#,##0_ ;_ * &quot;-&quot;_ ;_ @_ "/>
    <numFmt numFmtId="243" formatCode="&quot;₩&quot;#,##0.00;&quot;₩&quot;&quot;₩&quot;&quot;₩&quot;&quot;₩&quot;&quot;₩&quot;&quot;₩&quot;&quot;₩&quot;&quot;₩&quot;&quot;₩&quot;&quot;₩&quot;&quot;₩&quot;&quot;₩&quot;&quot;₩&quot;&quot;₩&quot;&quot;₩&quot;\-&quot;₩&quot;#,##0.00"/>
    <numFmt numFmtId="244" formatCode="_ &quot;₩&quot;* #,##0.00_ ;_ &quot;₩&quot;* &quot;₩&quot;&quot;₩&quot;&quot;₩&quot;&quot;₩&quot;&quot;₩&quot;&quot;₩&quot;&quot;₩&quot;&quot;₩&quot;\-#,##0.00_ ;_ &quot;₩&quot;* &quot;-&quot;??_ ;_ @_ "/>
    <numFmt numFmtId="245" formatCode="_(&quot;$&quot;* #,##0_);_(&quot;$&quot;* \(#,##0\);_(&quot;$&quot;* &quot;-&quot;??_);_(@_)"/>
    <numFmt numFmtId="246" formatCode="_ * #,##0_ ;_ * &quot;₩&quot;&quot;₩&quot;&quot;₩&quot;&quot;₩&quot;&quot;₩&quot;&quot;₩&quot;\-#,##0_ ;_ * &quot;-&quot;_ ;_ @_ "/>
    <numFmt numFmtId="247" formatCode="#,##0.0&quot;     &quot;"/>
    <numFmt numFmtId="248" formatCode="\-\2\2\5&quot; &quot;"/>
    <numFmt numFmtId="249" formatCode="&quot;$&quot;#,##0;\-&quot;$&quot;#,##0"/>
    <numFmt numFmtId="250" formatCode="0.00000"/>
    <numFmt numFmtId="251" formatCode="\1\4\4&quot; &quot;"/>
    <numFmt numFmtId="252" formatCode="&quot;(&quot;0&quot;)&quot;"/>
    <numFmt numFmtId="253" formatCode="&quot;₩&quot;#,##0;&quot;₩&quot;&quot;₩&quot;&quot;₩&quot;&quot;₩&quot;\-#,##0"/>
    <numFmt numFmtId="254" formatCode="&quot;111-&quot;@"/>
    <numFmt numFmtId="255" formatCode="0.0%;[Red]&quot;△&quot;0.0%"/>
    <numFmt numFmtId="256" formatCode="0.00%;[Red]&quot;△&quot;0.00%"/>
    <numFmt numFmtId="257" formatCode="#,##0_ ;[Red]\-#,##0\ "/>
    <numFmt numFmtId="258" formatCode="\(&quot;₩&quot;#,##0\);[Red]\(\-&quot;₩&quot;#,##0\)"/>
    <numFmt numFmtId="259" formatCode="\(&quot;₩&quot;#,##0\);[Red]\(&quot;△&quot;&quot;₩&quot;#,##0\)"/>
    <numFmt numFmtId="260" formatCode="?/?#"/>
    <numFmt numFmtId="261" formatCode="[Red]#,##0"/>
    <numFmt numFmtId="262" formatCode="_-* #,##0.00_-;\-* #,##0.00_-;_-* &quot;-&quot;_-;_-@_-"/>
    <numFmt numFmtId="263" formatCode="&quot;  &quot;@"/>
    <numFmt numFmtId="264" formatCode="\(#,##0.000\)"/>
    <numFmt numFmtId="265" formatCode="&quot;₩&quot;#,##0;[Red]&quot;₩&quot;&quot;₩&quot;&quot;₩&quot;&quot;₩&quot;\-#,##0"/>
    <numFmt numFmtId="266" formatCode="_ * #\!\,##0_ ;_ * &quot;₩&quot;\!\-#\!\,##0_ ;_ * &quot;-&quot;_ ;_ @_ "/>
    <numFmt numFmtId="267" formatCode="#,##0.0#####\ ;[Red]\-#,##0.0#####\ "/>
    <numFmt numFmtId="268" formatCode="0.00_ "/>
    <numFmt numFmtId="269" formatCode="#,##0.00_);[Red]\(#,##0.00\)"/>
    <numFmt numFmtId="270" formatCode="&quot;₩&quot;#,##0;[Red]&quot;₩&quot;\-#,##0"/>
    <numFmt numFmtId="271" formatCode="_-* #,##0.00_-;&quot;₩&quot;&quot;₩&quot;\-* #,##0.00_-;_-* &quot;-&quot;??_-;_-@_-"/>
    <numFmt numFmtId="272" formatCode="_-&quot;$&quot;* #,##0_-;\-&quot;$&quot;* #,##0_-;_-&quot;$&quot;* &quot;-&quot;_-;_-@_-"/>
    <numFmt numFmtId="273" formatCode="_-&quot;$&quot;* #,##0.00_-;\-&quot;$&quot;* #,##0.00_-;_-&quot;$&quot;* &quot;-&quot;??_-;_-@_-"/>
    <numFmt numFmtId="274" formatCode="_(* #,##0.000_);_(* \(#,##0.000\);_(* &quot;-&quot;??_);_(@_)"/>
    <numFmt numFmtId="275" formatCode="_-&quot;₩&quot;* #,##0.00_-;&quot;₩&quot;&quot;₩&quot;\-&quot;₩&quot;* #,##0.00_-;_-&quot;₩&quot;* &quot;-&quot;??_-;_-@_-"/>
    <numFmt numFmtId="276" formatCode="&quot;₩&quot;#,##0.00\ ;\(&quot;₩&quot;#,##0.00\)"/>
    <numFmt numFmtId="277" formatCode="&quot;₩&quot;#,##0;&quot;₩&quot;\-#,##0"/>
    <numFmt numFmtId="278" formatCode="&quot;₩&quot;#,##0.00;&quot;₩&quot;&quot;₩&quot;&quot;₩&quot;&quot;₩&quot;\-#,##0.00"/>
    <numFmt numFmtId="279" formatCode="[$-F800]dddd\,\ mmmm\ dd\,\ yyyy"/>
  </numFmts>
  <fonts count="19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돋움"/>
      <family val="3"/>
      <charset val="129"/>
    </font>
    <font>
      <b/>
      <sz val="10"/>
      <color rgb="FF000000"/>
      <name val="굴림체"/>
      <family val="3"/>
      <charset val="129"/>
    </font>
    <font>
      <b/>
      <sz val="14"/>
      <color rgb="FF000000"/>
      <name val="HY견고딕"/>
      <family val="1"/>
      <charset val="129"/>
    </font>
    <font>
      <b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0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6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6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i/>
      <u/>
      <sz val="1"/>
      <color indexed="16"/>
      <name val="Courier"/>
      <family val="3"/>
    </font>
    <font>
      <sz val="14"/>
      <name val="뼥??"/>
      <family val="3"/>
      <charset val="129"/>
    </font>
    <font>
      <sz val="10"/>
      <name val="명조"/>
      <family val="3"/>
      <charset val="129"/>
    </font>
    <font>
      <sz val="10"/>
      <name val="Arial"/>
      <family val="2"/>
    </font>
    <font>
      <sz val="12"/>
      <color indexed="8"/>
      <name val="바탕체"/>
      <family val="1"/>
      <charset val="129"/>
    </font>
    <font>
      <sz val="11"/>
      <name val="?¸¿?"/>
      <family val="3"/>
      <charset val="129"/>
    </font>
    <font>
      <u/>
      <sz val="10"/>
      <color indexed="12"/>
      <name val="Arial"/>
      <family val="2"/>
    </font>
    <font>
      <sz val="10"/>
      <name val="±¼¸²?¼"/>
      <family val="3"/>
      <charset val="129"/>
    </font>
    <font>
      <b/>
      <sz val="12"/>
      <name val="???"/>
      <family val="1"/>
    </font>
    <font>
      <u/>
      <sz val="10"/>
      <color indexed="36"/>
      <name val="Arial"/>
      <family val="2"/>
    </font>
    <font>
      <sz val="12"/>
      <name val="COUR"/>
      <family val="1"/>
    </font>
    <font>
      <sz val="10"/>
      <name val="굴림체"/>
      <family val="3"/>
      <charset val="129"/>
    </font>
    <font>
      <sz val="10"/>
      <color indexed="22"/>
      <name val="Modern"/>
      <family val="3"/>
      <charset val="255"/>
    </font>
    <font>
      <sz val="10"/>
      <name val="Helv"/>
      <family val="2"/>
    </font>
    <font>
      <sz val="10"/>
      <name val="Times New Roman"/>
      <family val="1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1"/>
      <charset val="129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sz val="13"/>
      <name val="돋움체"/>
      <family val="3"/>
      <charset val="129"/>
    </font>
    <font>
      <sz val="11"/>
      <name val="¾©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1"/>
      <color indexed="8"/>
      <name val="맑은 고딕"/>
      <family val="3"/>
      <charset val="129"/>
    </font>
    <font>
      <sz val="14"/>
      <name val="AngsanaUPC"/>
      <family val="1"/>
    </font>
    <font>
      <sz val="12"/>
      <name val="바탕체"/>
      <family val="1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b/>
      <sz val="14"/>
      <name val="Arial"/>
      <family val="2"/>
    </font>
    <font>
      <sz val="12"/>
      <name val="??UAAA¨?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9"/>
      <name val="굴림체"/>
      <family val="3"/>
      <charset val="129"/>
    </font>
    <font>
      <sz val="10"/>
      <name val="¹ÙÅÁÃ¼"/>
      <family val="1"/>
      <charset val="129"/>
    </font>
    <font>
      <sz val="12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3"/>
      <charset val="129"/>
    </font>
    <font>
      <sz val="12"/>
      <name val="¹ÙÅÁÃ¼"/>
      <family val="3"/>
      <charset val="129"/>
    </font>
    <font>
      <sz val="14"/>
      <name val="¹UAAA¼"/>
      <family val="1"/>
      <charset val="129"/>
    </font>
    <font>
      <sz val="11"/>
      <name val="μ¸¿oA¼"/>
      <family val="3"/>
      <charset val="129"/>
    </font>
    <font>
      <sz val="10"/>
      <name val="±¼¸²A¼"/>
      <family val="3"/>
      <charset val="129"/>
    </font>
    <font>
      <sz val="11"/>
      <name val="바탕체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0"/>
      <name val="굴림"/>
      <family val="3"/>
      <charset val="129"/>
    </font>
    <font>
      <b/>
      <sz val="12"/>
      <name val="Arial MT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0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1"/>
      <charset val="129"/>
    </font>
    <font>
      <sz val="12"/>
      <name val="μ¸¿oA¼"/>
      <family val="1"/>
      <charset val="129"/>
    </font>
    <font>
      <sz val="12"/>
      <name val="¹UAAA¼"/>
      <family val="3"/>
    </font>
    <font>
      <sz val="10"/>
      <color indexed="8"/>
      <name val="Arial"/>
      <family val="2"/>
    </font>
    <font>
      <sz val="9"/>
      <name val="Times New Roman"/>
      <family val="1"/>
    </font>
    <font>
      <b/>
      <sz val="10"/>
      <name val="Helv"/>
      <family val="2"/>
    </font>
    <font>
      <sz val="10"/>
      <color indexed="8"/>
      <name val="Impact"/>
      <family val="2"/>
    </font>
    <font>
      <sz val="12"/>
      <name val="Arial MT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u/>
      <sz val="10"/>
      <color indexed="14"/>
      <name val="MS Sans Serif"/>
      <family val="2"/>
    </font>
    <font>
      <u/>
      <sz val="14"/>
      <color indexed="36"/>
      <name val="Cordia New"/>
      <family val="2"/>
    </font>
    <font>
      <sz val="10"/>
      <name val="Geneva"/>
      <family val="2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4"/>
      <color indexed="12"/>
      <name val="Cordia New"/>
      <family val="2"/>
    </font>
    <font>
      <sz val="12"/>
      <name val="Helv"/>
      <family val="2"/>
    </font>
    <font>
      <sz val="11"/>
      <name val="굴림"/>
      <family val="3"/>
      <charset val="129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family val="3"/>
      <charset val="129"/>
    </font>
    <font>
      <sz val="7"/>
      <name val="Small Fonts"/>
      <family val="2"/>
    </font>
    <font>
      <sz val="1"/>
      <color indexed="18"/>
      <name val="Courier"/>
      <family val="3"/>
    </font>
    <font>
      <sz val="10"/>
      <name val="Tms Rmn"/>
      <family val="1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sz val="8"/>
      <name val="바탕체"/>
      <family val="1"/>
      <charset val="129"/>
    </font>
    <font>
      <sz val="11"/>
      <name val="明朝"/>
      <family val="3"/>
      <charset val="129"/>
    </font>
    <font>
      <i/>
      <outline/>
      <shadow/>
      <u/>
      <sz val="1"/>
      <color indexed="24"/>
      <name val="Courier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b/>
      <sz val="11"/>
      <name val="바탕"/>
      <family val="1"/>
      <charset val="129"/>
    </font>
    <font>
      <u/>
      <sz val="12"/>
      <color indexed="36"/>
      <name val="바탕체"/>
      <family val="1"/>
      <charset val="129"/>
    </font>
    <font>
      <u/>
      <sz val="13.2"/>
      <color indexed="36"/>
      <name val="돋움"/>
      <family val="3"/>
      <charset val="129"/>
    </font>
    <font>
      <sz val="14"/>
      <name val="ＭＳ 明朝"/>
      <family val="3"/>
      <charset val="129"/>
    </font>
    <font>
      <sz val="11"/>
      <name val="뼻뮝"/>
      <family val="3"/>
      <charset val="129"/>
    </font>
    <font>
      <sz val="11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sz val="11"/>
      <name val="돋움"/>
      <family val="3"/>
    </font>
    <font>
      <sz val="10"/>
      <name val="바탕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8"/>
      <name val="바탕체"/>
      <family val="1"/>
      <charset val="129"/>
    </font>
    <font>
      <sz val="12"/>
      <name val="¨IoUAAA¡§u"/>
      <family val="1"/>
      <charset val="129"/>
    </font>
    <font>
      <sz val="11"/>
      <name val="ＭＳ 明朝"/>
      <family val="3"/>
      <charset val="129"/>
    </font>
    <font>
      <u/>
      <sz val="11"/>
      <color indexed="12"/>
      <name val="돋움"/>
      <family val="3"/>
      <charset val="129"/>
    </font>
    <font>
      <sz val="14"/>
      <name val="System"/>
      <family val="2"/>
      <charset val="129"/>
    </font>
    <font>
      <b/>
      <sz val="9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u/>
      <sz val="11"/>
      <color rgb="FF000000"/>
      <name val="HY견고딕"/>
      <family val="1"/>
      <charset val="129"/>
    </font>
    <font>
      <b/>
      <sz val="11"/>
      <name val="굴림체"/>
      <family val="3"/>
      <charset val="129"/>
    </font>
    <font>
      <b/>
      <sz val="20"/>
      <color rgb="FF000000"/>
      <name val="맑은 고딕"/>
      <family val="3"/>
      <charset val="129"/>
    </font>
    <font>
      <b/>
      <sz val="12"/>
      <name val="굴림체"/>
      <family val="3"/>
      <charset val="129"/>
    </font>
    <font>
      <b/>
      <sz val="20"/>
      <name val="굴림체"/>
      <family val="3"/>
      <charset val="129"/>
    </font>
    <font>
      <b/>
      <sz val="16"/>
      <name val="굴림체"/>
      <family val="3"/>
      <charset val="129"/>
    </font>
    <font>
      <b/>
      <sz val="14"/>
      <color rgb="FFFF0000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70C0"/>
      <name val="굴림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darkGray">
        <fgColor indexed="16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darkVertical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41">
    <xf numFmtId="0" fontId="0" fillId="0" borderId="0">
      <alignment vertical="center"/>
    </xf>
    <xf numFmtId="0" fontId="2" fillId="0" borderId="0"/>
    <xf numFmtId="42" fontId="2" fillId="0" borderId="0">
      <alignment vertical="center"/>
    </xf>
    <xf numFmtId="41" fontId="2" fillId="0" borderId="0">
      <alignment vertical="center"/>
    </xf>
    <xf numFmtId="0" fontId="3" fillId="0" borderId="0"/>
    <xf numFmtId="41" fontId="2" fillId="0" borderId="0"/>
    <xf numFmtId="0" fontId="14" fillId="0" borderId="0"/>
    <xf numFmtId="182" fontId="1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/>
    <xf numFmtId="185" fontId="14" fillId="0" borderId="0" applyFont="0" applyFill="0" applyBorder="0" applyAlignment="0" applyProtection="0"/>
    <xf numFmtId="41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7" fillId="0" borderId="0">
      <protection locked="0"/>
    </xf>
    <xf numFmtId="188" fontId="27" fillId="0" borderId="0" applyFill="0" applyBorder="0" applyProtection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8" fillId="0" borderId="30">
      <alignment horizontal="center"/>
    </xf>
    <xf numFmtId="0" fontId="29" fillId="0" borderId="0">
      <alignment vertical="center"/>
    </xf>
    <xf numFmtId="3" fontId="30" fillId="0" borderId="1"/>
    <xf numFmtId="24" fontId="28" fillId="0" borderId="0" applyFont="0" applyFill="0" applyBorder="0" applyAlignment="0" applyProtection="0"/>
    <xf numFmtId="183" fontId="30" fillId="0" borderId="0" applyFont="0" applyFill="0" applyBorder="0" applyAlignment="0" applyProtection="0"/>
    <xf numFmtId="0" fontId="18" fillId="0" borderId="0" applyNumberFormat="0" applyFont="0" applyFill="0" applyBorder="0" applyAlignment="0" applyProtection="0"/>
    <xf numFmtId="189" fontId="18" fillId="0" borderId="0" applyNumberFormat="0" applyFont="0" applyFill="0" applyBorder="0" applyAlignment="0" applyProtection="0"/>
    <xf numFmtId="190" fontId="27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89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90" fontId="27" fillId="0" borderId="0" applyNumberFormat="0" applyFont="0" applyFill="0" applyBorder="0" applyAlignment="0" applyProtection="0"/>
    <xf numFmtId="185" fontId="14" fillId="0" borderId="0" applyFont="0" applyFill="0" applyBorder="0" applyAlignment="0" applyProtection="0">
      <alignment vertical="center"/>
    </xf>
    <xf numFmtId="191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38" fontId="27" fillId="0" borderId="8">
      <alignment horizontal="right"/>
    </xf>
    <xf numFmtId="192" fontId="33" fillId="4" borderId="10">
      <protection locked="0"/>
    </xf>
    <xf numFmtId="192" fontId="33" fillId="4" borderId="10">
      <protection locked="0"/>
    </xf>
    <xf numFmtId="0" fontId="34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0" borderId="0"/>
    <xf numFmtId="0" fontId="37" fillId="0" borderId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Font="0" applyFill="0" applyBorder="0" applyAlignment="0" applyProtection="0"/>
    <xf numFmtId="0" fontId="40" fillId="0" borderId="0"/>
    <xf numFmtId="0" fontId="41" fillId="0" borderId="0" applyFont="0" applyFill="0" applyBorder="0" applyAlignment="0" applyProtection="0"/>
    <xf numFmtId="193" fontId="18" fillId="4" borderId="1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0" fontId="36" fillId="0" borderId="0" applyNumberForma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/>
    <xf numFmtId="0" fontId="36" fillId="0" borderId="0" applyNumberFormat="0" applyFill="0" applyBorder="0" applyAlignment="0" applyProtection="0"/>
    <xf numFmtId="0" fontId="43" fillId="5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28" fillId="0" borderId="0"/>
    <xf numFmtId="0" fontId="44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44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28" fillId="0" borderId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5" fillId="0" borderId="0" applyProtection="0"/>
    <xf numFmtId="0" fontId="28" fillId="0" borderId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28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4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28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4" fillId="0" borderId="0"/>
    <xf numFmtId="0" fontId="46" fillId="0" borderId="0"/>
    <xf numFmtId="0" fontId="46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7" fillId="0" borderId="0" applyFont="0" applyFill="0" applyBorder="0" applyAlignment="0" applyProtection="0"/>
    <xf numFmtId="0" fontId="28" fillId="0" borderId="0"/>
    <xf numFmtId="0" fontId="27" fillId="0" borderId="0" applyFont="0" applyFill="0" applyBorder="0" applyAlignment="0" applyProtection="0"/>
    <xf numFmtId="0" fontId="28" fillId="0" borderId="0"/>
    <xf numFmtId="0" fontId="27" fillId="0" borderId="0" applyFont="0" applyFill="0" applyBorder="0" applyAlignment="0" applyProtection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45" fillId="0" borderId="0" applyProtection="0"/>
    <xf numFmtId="0" fontId="27" fillId="0" borderId="0" applyFont="0" applyFill="0" applyBorder="0" applyAlignment="0" applyProtection="0"/>
    <xf numFmtId="0" fontId="36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44" fillId="0" borderId="0" applyFont="0" applyFill="0" applyBorder="0" applyAlignment="0" applyProtection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18" fillId="0" borderId="0" applyFont="0" applyFill="0" applyBorder="0" applyAlignment="0" applyProtection="0"/>
    <xf numFmtId="0" fontId="44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28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0" borderId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44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36" fillId="0" borderId="0"/>
    <xf numFmtId="0" fontId="28" fillId="0" borderId="0"/>
    <xf numFmtId="0" fontId="2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18" fillId="0" borderId="0" applyFon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36" fillId="0" borderId="0"/>
    <xf numFmtId="0" fontId="45" fillId="0" borderId="0" applyProtection="0"/>
    <xf numFmtId="0" fontId="44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8" fillId="0" borderId="0"/>
    <xf numFmtId="0" fontId="28" fillId="0" borderId="0"/>
    <xf numFmtId="0" fontId="36" fillId="0" borderId="0"/>
    <xf numFmtId="0" fontId="44" fillId="0" borderId="0"/>
    <xf numFmtId="0" fontId="44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44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6" fillId="0" borderId="0"/>
    <xf numFmtId="0" fontId="44" fillId="0" borderId="0"/>
    <xf numFmtId="0" fontId="27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28" fillId="0" borderId="0"/>
    <xf numFmtId="0" fontId="44" fillId="0" borderId="0"/>
    <xf numFmtId="183" fontId="27" fillId="0" borderId="0" applyFont="0" applyFill="0" applyBorder="0" applyAlignment="0" applyProtection="0"/>
    <xf numFmtId="0" fontId="36" fillId="0" borderId="0"/>
    <xf numFmtId="0" fontId="44" fillId="0" borderId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27" fillId="0" borderId="0" applyFont="0" applyFill="0" applyBorder="0" applyAlignment="0" applyProtection="0"/>
    <xf numFmtId="0" fontId="28" fillId="0" borderId="0"/>
    <xf numFmtId="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/>
    <xf numFmtId="0" fontId="4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 applyFont="0" applyFill="0" applyBorder="0" applyAlignment="0" applyProtection="0"/>
    <xf numFmtId="0" fontId="28" fillId="0" borderId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36" fillId="0" borderId="0"/>
    <xf numFmtId="0" fontId="28" fillId="0" borderId="0"/>
    <xf numFmtId="183" fontId="27" fillId="0" borderId="0" applyFont="0" applyFill="0" applyBorder="0" applyAlignment="0" applyProtection="0"/>
    <xf numFmtId="0" fontId="36" fillId="0" borderId="0"/>
    <xf numFmtId="0" fontId="36" fillId="0" borderId="0"/>
    <xf numFmtId="0" fontId="28" fillId="0" borderId="0"/>
    <xf numFmtId="0" fontId="28" fillId="0" borderId="0"/>
    <xf numFmtId="192" fontId="48" fillId="0" borderId="0">
      <protection locked="0"/>
    </xf>
    <xf numFmtId="0" fontId="28" fillId="0" borderId="0"/>
    <xf numFmtId="0" fontId="28" fillId="0" borderId="0"/>
    <xf numFmtId="0" fontId="36" fillId="0" borderId="0"/>
    <xf numFmtId="0" fontId="28" fillId="0" borderId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44" fillId="0" borderId="0"/>
    <xf numFmtId="0" fontId="4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7" fillId="0" borderId="0"/>
    <xf numFmtId="0" fontId="36" fillId="0" borderId="0"/>
    <xf numFmtId="0" fontId="27" fillId="0" borderId="0"/>
    <xf numFmtId="183" fontId="2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5" fillId="0" borderId="0" applyProtection="0"/>
    <xf numFmtId="0" fontId="2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4" fontId="27" fillId="0" borderId="0" applyFont="0" applyFill="0" applyBorder="0" applyAlignment="0" applyProtection="0"/>
    <xf numFmtId="195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/>
    <xf numFmtId="0" fontId="44" fillId="0" borderId="0"/>
    <xf numFmtId="0" fontId="36" fillId="0" borderId="0"/>
    <xf numFmtId="0" fontId="44" fillId="0" borderId="0"/>
    <xf numFmtId="0" fontId="28" fillId="0" borderId="0"/>
    <xf numFmtId="0" fontId="18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28" fillId="0" borderId="0"/>
    <xf numFmtId="0" fontId="2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44" fillId="0" borderId="0"/>
    <xf numFmtId="0" fontId="36" fillId="0" borderId="0"/>
    <xf numFmtId="0" fontId="36" fillId="0" borderId="0"/>
    <xf numFmtId="0" fontId="27" fillId="0" borderId="0"/>
    <xf numFmtId="0" fontId="27" fillId="0" borderId="0"/>
    <xf numFmtId="0" fontId="27" fillId="0" borderId="0"/>
    <xf numFmtId="0" fontId="36" fillId="0" borderId="0"/>
    <xf numFmtId="0" fontId="36" fillId="0" borderId="0"/>
    <xf numFmtId="0" fontId="44" fillId="0" borderId="0" applyFont="0" applyFill="0" applyBorder="0" applyAlignment="0" applyProtection="0"/>
    <xf numFmtId="0" fontId="36" fillId="0" borderId="0"/>
    <xf numFmtId="0" fontId="28" fillId="0" borderId="0"/>
    <xf numFmtId="0" fontId="28" fillId="0" borderId="0"/>
    <xf numFmtId="0" fontId="44" fillId="0" borderId="0"/>
    <xf numFmtId="0" fontId="1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28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44" fillId="0" borderId="0"/>
    <xf numFmtId="0" fontId="28" fillId="0" borderId="0"/>
    <xf numFmtId="0" fontId="36" fillId="0" borderId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45" fillId="0" borderId="0" applyProtection="0"/>
    <xf numFmtId="0" fontId="36" fillId="0" borderId="0"/>
    <xf numFmtId="0" fontId="36" fillId="0" borderId="0"/>
    <xf numFmtId="0" fontId="28" fillId="0" borderId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/>
    <xf numFmtId="0" fontId="28" fillId="0" borderId="0"/>
    <xf numFmtId="0" fontId="18" fillId="0" borderId="0" applyFont="0" applyFill="0" applyBorder="0" applyAlignment="0" applyProtection="0"/>
    <xf numFmtId="0" fontId="36" fillId="0" borderId="0"/>
    <xf numFmtId="0" fontId="28" fillId="0" borderId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 applyFont="0" applyFill="0" applyBorder="0" applyAlignment="0" applyProtection="0"/>
    <xf numFmtId="0" fontId="36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44" fillId="0" borderId="0"/>
    <xf numFmtId="0" fontId="28" fillId="0" borderId="0"/>
    <xf numFmtId="0" fontId="28" fillId="0" borderId="0"/>
    <xf numFmtId="0" fontId="27" fillId="0" borderId="0" applyFont="0" applyFill="0" applyBorder="0" applyAlignment="0" applyProtection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27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44" fillId="0" borderId="0"/>
    <xf numFmtId="0" fontId="36" fillId="0" borderId="0"/>
    <xf numFmtId="0" fontId="36" fillId="0" borderId="0"/>
    <xf numFmtId="0" fontId="4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44" fillId="0" borderId="0"/>
    <xf numFmtId="0" fontId="28" fillId="0" borderId="0"/>
    <xf numFmtId="0" fontId="28" fillId="0" borderId="0"/>
    <xf numFmtId="0" fontId="18" fillId="0" borderId="0" applyFont="0" applyFill="0" applyBorder="0" applyAlignment="0" applyProtection="0"/>
    <xf numFmtId="0" fontId="27" fillId="0" borderId="0"/>
    <xf numFmtId="0" fontId="3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36" fillId="0" borderId="0"/>
    <xf numFmtId="0" fontId="44" fillId="0" borderId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44" fillId="0" borderId="0" applyFont="0" applyFill="0" applyBorder="0" applyAlignment="0" applyProtection="0"/>
    <xf numFmtId="0" fontId="45" fillId="0" borderId="0" applyProtection="0"/>
    <xf numFmtId="183" fontId="27" fillId="0" borderId="0" applyFont="0" applyFill="0" applyBorder="0" applyAlignment="0" applyProtection="0"/>
    <xf numFmtId="0" fontId="36" fillId="0" borderId="0"/>
    <xf numFmtId="0" fontId="27" fillId="0" borderId="0"/>
    <xf numFmtId="0" fontId="2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36" fillId="0" borderId="0"/>
    <xf numFmtId="183" fontId="27" fillId="0" borderId="0" applyFont="0" applyFill="0" applyBorder="0" applyAlignment="0" applyProtection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28" fillId="0" borderId="0"/>
    <xf numFmtId="0" fontId="28" fillId="0" borderId="0"/>
    <xf numFmtId="0" fontId="36" fillId="0" borderId="0"/>
    <xf numFmtId="0" fontId="44" fillId="0" borderId="0"/>
    <xf numFmtId="38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6" fillId="0" borderId="0"/>
    <xf numFmtId="0" fontId="18" fillId="0" borderId="0" applyFont="0" applyFill="0" applyBorder="0" applyAlignment="0" applyProtection="0"/>
    <xf numFmtId="0" fontId="36" fillId="0" borderId="0"/>
    <xf numFmtId="0" fontId="36" fillId="0" borderId="0"/>
    <xf numFmtId="0" fontId="4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Font="0" applyFill="0" applyBorder="0" applyAlignment="0" applyProtection="0"/>
    <xf numFmtId="0" fontId="28" fillId="0" borderId="0"/>
    <xf numFmtId="0" fontId="36" fillId="0" borderId="0"/>
    <xf numFmtId="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/>
    <xf numFmtId="0" fontId="1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44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28" fillId="0" borderId="0"/>
    <xf numFmtId="0" fontId="18" fillId="0" borderId="0" applyFont="0" applyFill="0" applyBorder="0" applyAlignment="0" applyProtection="0"/>
    <xf numFmtId="0" fontId="28" fillId="0" borderId="0"/>
    <xf numFmtId="0" fontId="36" fillId="0" borderId="0"/>
    <xf numFmtId="0" fontId="36" fillId="0" borderId="0"/>
    <xf numFmtId="0" fontId="18" fillId="0" borderId="0" applyFont="0" applyFill="0" applyBorder="0" applyAlignment="0" applyProtection="0"/>
    <xf numFmtId="0" fontId="36" fillId="0" borderId="0"/>
    <xf numFmtId="0" fontId="28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27" fillId="0" borderId="0" applyFont="0" applyFill="0" applyBorder="0" applyAlignment="0" applyProtection="0"/>
    <xf numFmtId="0" fontId="36" fillId="0" borderId="0"/>
    <xf numFmtId="0" fontId="46" fillId="0" borderId="0"/>
    <xf numFmtId="0" fontId="36" fillId="0" borderId="0"/>
    <xf numFmtId="0" fontId="36" fillId="0" borderId="0"/>
    <xf numFmtId="0" fontId="49" fillId="0" borderId="0">
      <protection locked="0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50" fillId="0" borderId="0"/>
    <xf numFmtId="0" fontId="27" fillId="0" borderId="0" applyFont="0" applyFill="0" applyBorder="0" applyAlignment="0" applyProtection="0"/>
    <xf numFmtId="196" fontId="14" fillId="0" borderId="0" applyFont="0" applyFill="0" applyBorder="0" applyProtection="0">
      <alignment vertical="center"/>
    </xf>
    <xf numFmtId="197" fontId="18" fillId="0" borderId="0" applyFont="0" applyFill="0" applyBorder="0" applyProtection="0">
      <alignment vertical="center"/>
    </xf>
    <xf numFmtId="0" fontId="51" fillId="0" borderId="0"/>
    <xf numFmtId="198" fontId="14" fillId="0" borderId="0">
      <alignment vertical="center"/>
    </xf>
    <xf numFmtId="199" fontId="18" fillId="0" borderId="0">
      <alignment vertical="center"/>
    </xf>
    <xf numFmtId="182" fontId="14" fillId="0" borderId="0" applyFont="0" applyFill="0" applyBorder="0" applyAlignment="0" applyProtection="0">
      <alignment vertical="center"/>
    </xf>
    <xf numFmtId="180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200" fontId="52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1" fillId="0" borderId="0"/>
    <xf numFmtId="0" fontId="42" fillId="0" borderId="0" applyNumberFormat="0" applyFill="0" applyBorder="0" applyAlignment="0" applyProtection="0">
      <alignment vertical="top"/>
      <protection locked="0"/>
    </xf>
    <xf numFmtId="183" fontId="5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55" fillId="0" borderId="0"/>
    <xf numFmtId="0" fontId="28" fillId="0" borderId="0"/>
    <xf numFmtId="3" fontId="30" fillId="0" borderId="1"/>
    <xf numFmtId="3" fontId="30" fillId="0" borderId="1"/>
    <xf numFmtId="201" fontId="56" fillId="0" borderId="0">
      <alignment vertical="center"/>
    </xf>
    <xf numFmtId="0" fontId="31" fillId="0" borderId="0"/>
    <xf numFmtId="3" fontId="57" fillId="0" borderId="19">
      <alignment horizontal="right" vertical="center"/>
    </xf>
    <xf numFmtId="10" fontId="36" fillId="0" borderId="0" applyFont="0" applyFill="0" applyBorder="0" applyAlignment="0" applyProtection="0"/>
    <xf numFmtId="3" fontId="57" fillId="0" borderId="19">
      <alignment horizontal="right" vertical="center"/>
    </xf>
    <xf numFmtId="3" fontId="57" fillId="0" borderId="19">
      <alignment horizontal="right" vertical="center"/>
    </xf>
    <xf numFmtId="0" fontId="31" fillId="0" borderId="0"/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3" fontId="57" fillId="0" borderId="19">
      <alignment horizontal="right" vertical="center"/>
    </xf>
    <xf numFmtId="0" fontId="58" fillId="0" borderId="0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center" vertical="center"/>
    </xf>
    <xf numFmtId="0" fontId="31" fillId="0" borderId="0"/>
    <xf numFmtId="0" fontId="58" fillId="0" borderId="0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center" vertical="center"/>
    </xf>
    <xf numFmtId="41" fontId="27" fillId="0" borderId="0">
      <alignment horizontal="center" vertical="center"/>
    </xf>
    <xf numFmtId="202" fontId="27" fillId="0" borderId="0">
      <alignment horizontal="center" vertical="center"/>
    </xf>
    <xf numFmtId="203" fontId="27" fillId="0" borderId="0">
      <alignment horizontal="center" vertical="center"/>
    </xf>
    <xf numFmtId="41" fontId="27" fillId="0" borderId="0">
      <alignment horizontal="center" vertical="center"/>
    </xf>
    <xf numFmtId="202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41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3" fontId="27" fillId="0" borderId="0">
      <alignment horizontal="center" vertical="center"/>
    </xf>
    <xf numFmtId="204" fontId="59" fillId="0" borderId="0">
      <alignment horizontal="center" vertical="center"/>
    </xf>
    <xf numFmtId="41" fontId="27" fillId="0" borderId="0">
      <alignment horizontal="center" vertical="center"/>
    </xf>
    <xf numFmtId="203" fontId="27" fillId="0" borderId="0">
      <alignment horizontal="center" vertical="center"/>
    </xf>
    <xf numFmtId="0" fontId="31" fillId="0" borderId="0"/>
    <xf numFmtId="0" fontId="58" fillId="0" borderId="0">
      <alignment horizontal="center" vertical="center"/>
    </xf>
    <xf numFmtId="0" fontId="31" fillId="0" borderId="0"/>
    <xf numFmtId="0" fontId="60" fillId="0" borderId="0"/>
    <xf numFmtId="0" fontId="18" fillId="0" borderId="0">
      <protection locked="0"/>
    </xf>
    <xf numFmtId="10" fontId="36" fillId="0" borderId="0" applyFont="0" applyFill="0" applyBorder="0" applyAlignment="0" applyProtection="0"/>
    <xf numFmtId="2" fontId="57" fillId="0" borderId="19">
      <alignment horizontal="right" vertical="center"/>
    </xf>
    <xf numFmtId="0" fontId="27" fillId="0" borderId="0"/>
    <xf numFmtId="0" fontId="27" fillId="0" borderId="5">
      <alignment horizont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2" fontId="57" fillId="0" borderId="19">
      <alignment horizontal="right" vertical="center"/>
    </xf>
    <xf numFmtId="0" fontId="61" fillId="6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49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9" fontId="27" fillId="0" borderId="0">
      <protection locked="0"/>
    </xf>
    <xf numFmtId="9" fontId="63" fillId="0" borderId="0">
      <protection locked="0"/>
    </xf>
    <xf numFmtId="0" fontId="64" fillId="16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5" fillId="0" borderId="0"/>
    <xf numFmtId="0" fontId="66" fillId="0" borderId="31">
      <alignment horizontal="center" vertical="center"/>
    </xf>
    <xf numFmtId="0" fontId="18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67" fillId="0" borderId="0" applyBorder="0" applyProtection="0">
      <alignment horizontal="centerContinuous"/>
    </xf>
    <xf numFmtId="0" fontId="18" fillId="0" borderId="0">
      <protection locked="0"/>
    </xf>
    <xf numFmtId="0" fontId="18" fillId="0" borderId="0">
      <protection locked="0"/>
    </xf>
    <xf numFmtId="0" fontId="67" fillId="0" borderId="0" applyBorder="0" applyProtection="0">
      <alignment horizontal="centerContinuous"/>
    </xf>
    <xf numFmtId="0" fontId="67" fillId="0" borderId="0" applyBorder="0" applyProtection="0">
      <alignment horizontal="centerContinuous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67" fillId="0" borderId="0" applyBorder="0" applyProtection="0">
      <alignment horizontal="centerContinuous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67" fillId="0" borderId="0" applyBorder="0" applyProtection="0">
      <alignment horizontal="centerContinuous"/>
    </xf>
    <xf numFmtId="0" fontId="67" fillId="0" borderId="0" applyBorder="0" applyProtection="0">
      <alignment horizontal="centerContinuous"/>
    </xf>
    <xf numFmtId="0" fontId="67" fillId="0" borderId="0" applyBorder="0" applyProtection="0">
      <alignment horizontal="centerContinuous"/>
    </xf>
    <xf numFmtId="0" fontId="67" fillId="0" borderId="0" applyBorder="0" applyProtection="0">
      <alignment horizontal="centerContinuous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67" fillId="0" borderId="0" applyBorder="0" applyProtection="0">
      <alignment horizontal="centerContinuous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71" fillId="0" borderId="0">
      <protection locked="0"/>
    </xf>
    <xf numFmtId="0" fontId="18" fillId="0" borderId="0">
      <protection locked="0"/>
    </xf>
    <xf numFmtId="0" fontId="51" fillId="0" borderId="0" applyFont="0" applyFill="0" applyBorder="0" applyAlignment="0" applyProtection="0"/>
    <xf numFmtId="0" fontId="72" fillId="0" borderId="0" applyFont="0" applyFill="0" applyBorder="0" applyAlignment="0" applyProtection="0"/>
    <xf numFmtId="205" fontId="52" fillId="0" borderId="0" applyFont="0" applyFill="0" applyBorder="0" applyAlignment="0" applyProtection="0"/>
    <xf numFmtId="205" fontId="73" fillId="0" borderId="0" applyFont="0" applyFill="0" applyBorder="0" applyAlignment="0" applyProtection="0"/>
    <xf numFmtId="42" fontId="74" fillId="0" borderId="0" applyFont="0" applyFill="0" applyBorder="0" applyAlignment="0" applyProtection="0"/>
    <xf numFmtId="205" fontId="73" fillId="0" borderId="0" applyFont="0" applyFill="0" applyBorder="0" applyAlignment="0" applyProtection="0"/>
    <xf numFmtId="0" fontId="52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2" fillId="0" borderId="0" applyFont="0" applyFill="0" applyBorder="0" applyAlignment="0" applyProtection="0"/>
    <xf numFmtId="206" fontId="75" fillId="0" borderId="0" applyFont="0" applyFill="0" applyBorder="0" applyAlignment="0" applyProtection="0"/>
    <xf numFmtId="42" fontId="51" fillId="0" borderId="0" applyFont="0" applyFill="0" applyBorder="0" applyAlignment="0" applyProtection="0"/>
    <xf numFmtId="205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75" fillId="0" borderId="0" applyFont="0" applyFill="0" applyBorder="0" applyAlignment="0" applyProtection="0"/>
    <xf numFmtId="37" fontId="51" fillId="0" borderId="0" applyFont="0" applyFill="0" applyBorder="0" applyAlignment="0" applyProtection="0"/>
    <xf numFmtId="207" fontId="36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18" fillId="0" borderId="0">
      <protection locked="0"/>
    </xf>
    <xf numFmtId="0" fontId="51" fillId="0" borderId="0" applyFont="0" applyFill="0" applyBorder="0" applyAlignment="0" applyProtection="0"/>
    <xf numFmtId="0" fontId="72" fillId="0" borderId="0" applyFont="0" applyFill="0" applyBorder="0" applyAlignment="0" applyProtection="0"/>
    <xf numFmtId="208" fontId="52" fillId="0" borderId="0" applyFont="0" applyFill="0" applyBorder="0" applyAlignment="0" applyProtection="0"/>
    <xf numFmtId="208" fontId="73" fillId="0" borderId="0" applyFont="0" applyFill="0" applyBorder="0" applyAlignment="0" applyProtection="0"/>
    <xf numFmtId="44" fontId="74" fillId="0" borderId="0" applyFont="0" applyFill="0" applyBorder="0" applyAlignment="0" applyProtection="0"/>
    <xf numFmtId="208" fontId="7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2" fillId="0" borderId="0" applyFont="0" applyFill="0" applyBorder="0" applyAlignment="0" applyProtection="0"/>
    <xf numFmtId="209" fontId="75" fillId="0" borderId="0" applyFont="0" applyFill="0" applyBorder="0" applyAlignment="0" applyProtection="0"/>
    <xf numFmtId="44" fontId="51" fillId="0" borderId="0" applyFont="0" applyFill="0" applyBorder="0" applyAlignment="0" applyProtection="0"/>
    <xf numFmtId="208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80" fillId="0" borderId="0" applyFont="0" applyFill="0" applyBorder="0" applyAlignment="0" applyProtection="0"/>
    <xf numFmtId="37" fontId="51" fillId="0" borderId="0" applyFont="0" applyFill="0" applyBorder="0" applyAlignment="0" applyProtection="0"/>
    <xf numFmtId="210" fontId="36" fillId="0" borderId="0" applyFont="0" applyFill="0" applyBorder="0" applyAlignment="0" applyProtection="0"/>
    <xf numFmtId="0" fontId="18" fillId="0" borderId="0"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211" fontId="52" fillId="0" borderId="0">
      <protection locked="0"/>
    </xf>
    <xf numFmtId="0" fontId="28" fillId="0" borderId="0"/>
    <xf numFmtId="0" fontId="52" fillId="0" borderId="0"/>
    <xf numFmtId="0" fontId="81" fillId="0" borderId="0">
      <alignment horizontal="center" wrapText="1"/>
      <protection locked="0"/>
    </xf>
    <xf numFmtId="0" fontId="18" fillId="0" borderId="0">
      <protection locked="0"/>
    </xf>
    <xf numFmtId="0" fontId="82" fillId="0" borderId="0" applyFont="0" applyFill="0" applyBorder="0" applyAlignment="0" applyProtection="0"/>
    <xf numFmtId="0" fontId="72" fillId="0" borderId="0" applyFont="0" applyFill="0" applyBorder="0" applyAlignment="0" applyProtection="0"/>
    <xf numFmtId="183" fontId="52" fillId="0" borderId="0" applyFont="0" applyFill="0" applyBorder="0" applyAlignment="0" applyProtection="0"/>
    <xf numFmtId="183" fontId="73" fillId="0" borderId="0" applyFont="0" applyFill="0" applyBorder="0" applyAlignment="0" applyProtection="0"/>
    <xf numFmtId="41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9" fillId="0" borderId="0" applyFont="0" applyFill="0" applyBorder="0" applyAlignment="0" applyProtection="0"/>
    <xf numFmtId="6" fontId="36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2" fillId="0" borderId="0" applyFont="0" applyFill="0" applyBorder="0" applyAlignment="0" applyProtection="0"/>
    <xf numFmtId="183" fontId="75" fillId="0" borderId="0" applyFont="0" applyFill="0" applyBorder="0" applyAlignment="0" applyProtection="0"/>
    <xf numFmtId="41" fontId="51" fillId="0" borderId="0" applyFont="0" applyFill="0" applyBorder="0" applyAlignment="0" applyProtection="0"/>
    <xf numFmtId="183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7" fillId="0" borderId="0" applyFont="0" applyFill="0" applyBorder="0" applyAlignment="0" applyProtection="0"/>
    <xf numFmtId="183" fontId="73" fillId="0" borderId="0" applyFont="0" applyFill="0" applyBorder="0" applyAlignment="0" applyProtection="0"/>
    <xf numFmtId="37" fontId="51" fillId="0" borderId="0" applyFont="0" applyFill="0" applyBorder="0" applyAlignment="0" applyProtection="0"/>
    <xf numFmtId="203" fontId="8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72" fillId="0" borderId="0" applyFont="0" applyFill="0" applyBorder="0" applyAlignment="0" applyProtection="0"/>
    <xf numFmtId="212" fontId="52" fillId="0" borderId="0" applyFont="0" applyFill="0" applyBorder="0" applyAlignment="0" applyProtection="0"/>
    <xf numFmtId="212" fontId="73" fillId="0" borderId="0" applyFont="0" applyFill="0" applyBorder="0" applyAlignment="0" applyProtection="0"/>
    <xf numFmtId="43" fontId="74" fillId="0" borderId="0" applyFont="0" applyFill="0" applyBorder="0" applyAlignment="0" applyProtection="0"/>
    <xf numFmtId="212" fontId="7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2" fillId="0" borderId="0" applyFont="0" applyFill="0" applyBorder="0" applyAlignment="0" applyProtection="0"/>
    <xf numFmtId="212" fontId="75" fillId="0" borderId="0" applyFont="0" applyFill="0" applyBorder="0" applyAlignment="0" applyProtection="0"/>
    <xf numFmtId="43" fontId="51" fillId="0" borderId="0" applyFont="0" applyFill="0" applyBorder="0" applyAlignment="0" applyProtection="0"/>
    <xf numFmtId="212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1" fillId="0" borderId="0" applyFont="0" applyFill="0" applyBorder="0" applyAlignment="0" applyProtection="0"/>
    <xf numFmtId="212" fontId="73" fillId="0" borderId="0" applyFont="0" applyFill="0" applyBorder="0" applyAlignment="0" applyProtection="0"/>
    <xf numFmtId="37" fontId="51" fillId="0" borderId="0" applyFont="0" applyFill="0" applyBorder="0" applyAlignment="0" applyProtection="0"/>
    <xf numFmtId="213" fontId="83" fillId="0" borderId="0" applyFont="0" applyFill="0" applyBorder="0" applyAlignment="0" applyProtection="0"/>
    <xf numFmtId="4" fontId="49" fillId="0" borderId="0">
      <protection locked="0"/>
    </xf>
    <xf numFmtId="214" fontId="52" fillId="0" borderId="0">
      <protection locked="0"/>
    </xf>
    <xf numFmtId="58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6" fontId="84" fillId="0" borderId="0" applyFont="0" applyFill="0" applyBorder="0" applyAlignment="0" applyProtection="0">
      <alignment horizontal="right"/>
    </xf>
    <xf numFmtId="0" fontId="85" fillId="0" borderId="0"/>
    <xf numFmtId="0" fontId="84" fillId="0" borderId="0" applyFont="0" applyFill="0" applyBorder="0" applyAlignment="0" applyProtection="0">
      <alignment horizontal="right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86" fillId="0" borderId="0"/>
    <xf numFmtId="0" fontId="86" fillId="0" borderId="0"/>
    <xf numFmtId="0" fontId="86" fillId="0" borderId="0"/>
    <xf numFmtId="0" fontId="87" fillId="0" borderId="0"/>
    <xf numFmtId="0" fontId="88" fillId="0" borderId="0"/>
    <xf numFmtId="0" fontId="89" fillId="0" borderId="0"/>
    <xf numFmtId="0" fontId="72" fillId="0" borderId="0"/>
    <xf numFmtId="0" fontId="79" fillId="0" borderId="0"/>
    <xf numFmtId="0" fontId="88" fillId="0" borderId="0"/>
    <xf numFmtId="0" fontId="90" fillId="0" borderId="0"/>
    <xf numFmtId="0" fontId="72" fillId="0" borderId="0"/>
    <xf numFmtId="0" fontId="74" fillId="0" borderId="0"/>
    <xf numFmtId="0" fontId="36" fillId="0" borderId="0"/>
    <xf numFmtId="0" fontId="86" fillId="0" borderId="0"/>
    <xf numFmtId="0" fontId="91" fillId="0" borderId="0"/>
    <xf numFmtId="0" fontId="79" fillId="0" borderId="0"/>
    <xf numFmtId="0" fontId="73" fillId="0" borderId="0"/>
    <xf numFmtId="0" fontId="52" fillId="0" borderId="0"/>
    <xf numFmtId="0" fontId="73" fillId="0" borderId="0"/>
    <xf numFmtId="0" fontId="51" fillId="0" borderId="0"/>
    <xf numFmtId="0" fontId="72" fillId="0" borderId="0"/>
    <xf numFmtId="0" fontId="90" fillId="0" borderId="0"/>
    <xf numFmtId="37" fontId="73" fillId="0" borderId="0"/>
    <xf numFmtId="37" fontId="51" fillId="0" borderId="0"/>
    <xf numFmtId="0" fontId="73" fillId="0" borderId="0"/>
    <xf numFmtId="0" fontId="51" fillId="0" borderId="0"/>
    <xf numFmtId="0" fontId="92" fillId="0" borderId="0"/>
    <xf numFmtId="0" fontId="93" fillId="0" borderId="0"/>
    <xf numFmtId="0" fontId="73" fillId="0" borderId="0"/>
    <xf numFmtId="0" fontId="94" fillId="0" borderId="0"/>
    <xf numFmtId="0" fontId="73" fillId="0" borderId="0"/>
    <xf numFmtId="0" fontId="51" fillId="0" borderId="0"/>
    <xf numFmtId="0" fontId="73" fillId="0" borderId="0"/>
    <xf numFmtId="0" fontId="51" fillId="0" borderId="0"/>
    <xf numFmtId="0" fontId="73" fillId="0" borderId="0"/>
    <xf numFmtId="0" fontId="77" fillId="0" borderId="0"/>
    <xf numFmtId="0" fontId="75" fillId="0" borderId="0"/>
    <xf numFmtId="37" fontId="52" fillId="0" borderId="0"/>
    <xf numFmtId="0" fontId="36" fillId="0" borderId="0"/>
    <xf numFmtId="0" fontId="82" fillId="0" borderId="0"/>
    <xf numFmtId="0" fontId="73" fillId="0" borderId="0"/>
    <xf numFmtId="0" fontId="36" fillId="0" borderId="0"/>
    <xf numFmtId="0" fontId="36" fillId="0" borderId="0"/>
    <xf numFmtId="0" fontId="79" fillId="0" borderId="0"/>
    <xf numFmtId="0" fontId="88" fillId="0" borderId="0"/>
    <xf numFmtId="0" fontId="79" fillId="0" borderId="0"/>
    <xf numFmtId="0" fontId="88" fillId="0" borderId="0"/>
    <xf numFmtId="0" fontId="51" fillId="0" borderId="0"/>
    <xf numFmtId="217" fontId="84" fillId="0" borderId="0" applyFill="0" applyBorder="0" applyAlignment="0"/>
    <xf numFmtId="218" fontId="95" fillId="0" borderId="0" applyFill="0" applyBorder="0" applyAlignment="0"/>
    <xf numFmtId="177" fontId="27" fillId="0" borderId="0" applyFill="0" applyBorder="0" applyAlignment="0"/>
    <xf numFmtId="204" fontId="96" fillId="0" borderId="0" applyFill="0" applyBorder="0" applyAlignment="0"/>
    <xf numFmtId="219" fontId="84" fillId="0" borderId="0" applyFill="0" applyBorder="0" applyAlignment="0"/>
    <xf numFmtId="220" fontId="84" fillId="0" borderId="0" applyFill="0" applyBorder="0" applyAlignment="0"/>
    <xf numFmtId="217" fontId="84" fillId="0" borderId="0" applyFill="0" applyBorder="0" applyAlignment="0"/>
    <xf numFmtId="221" fontId="84" fillId="0" borderId="0" applyFill="0" applyBorder="0" applyAlignment="0"/>
    <xf numFmtId="177" fontId="27" fillId="0" borderId="0" applyFill="0" applyBorder="0" applyAlignment="0"/>
    <xf numFmtId="0" fontId="97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8" fillId="0" borderId="0">
      <protection locked="0"/>
    </xf>
    <xf numFmtId="0" fontId="49" fillId="0" borderId="32">
      <protection locked="0"/>
    </xf>
    <xf numFmtId="0" fontId="98" fillId="20" borderId="30">
      <alignment horizontal="center" wrapText="1"/>
    </xf>
    <xf numFmtId="4" fontId="49" fillId="0" borderId="0">
      <protection locked="0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7" fontId="84" fillId="0" borderId="0" applyFont="0" applyFill="0" applyBorder="0" applyAlignment="0" applyProtection="0"/>
    <xf numFmtId="192" fontId="48" fillId="0" borderId="0">
      <protection locked="0"/>
    </xf>
    <xf numFmtId="192" fontId="48" fillId="0" borderId="0">
      <protection locked="0"/>
    </xf>
    <xf numFmtId="222" fontId="47" fillId="0" borderId="0"/>
    <xf numFmtId="223" fontId="18" fillId="0" borderId="0"/>
    <xf numFmtId="0" fontId="36" fillId="0" borderId="0" applyFont="0" applyFill="0" applyBorder="0" applyAlignment="0" applyProtection="0"/>
    <xf numFmtId="224" fontId="58" fillId="0" borderId="0">
      <protection locked="0"/>
    </xf>
    <xf numFmtId="3" fontId="36" fillId="0" borderId="0" applyFont="0" applyFill="0" applyBorder="0" applyAlignment="0" applyProtection="0"/>
    <xf numFmtId="0" fontId="100" fillId="0" borderId="0" applyNumberFormat="0" applyAlignment="0">
      <alignment horizontal="left"/>
    </xf>
    <xf numFmtId="0" fontId="101" fillId="0" borderId="0" applyNumberFormat="0" applyAlignment="0"/>
    <xf numFmtId="225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27" fillId="0" borderId="0">
      <protection locked="0"/>
    </xf>
    <xf numFmtId="0" fontId="28" fillId="0" borderId="0" applyFont="0" applyFill="0" applyBorder="0" applyAlignment="0" applyProtection="0"/>
    <xf numFmtId="226" fontId="28" fillId="0" borderId="0" applyFont="0" applyFill="0" applyBorder="0" applyAlignment="0" applyProtection="0"/>
    <xf numFmtId="0" fontId="36" fillId="0" borderId="0" applyFont="0" applyFill="0" applyBorder="0" applyAlignment="0" applyProtection="0"/>
    <xf numFmtId="177" fontId="27" fillId="0" borderId="0" applyFont="0" applyFill="0" applyBorder="0" applyAlignment="0" applyProtection="0"/>
    <xf numFmtId="192" fontId="48" fillId="0" borderId="0">
      <protection locked="0"/>
    </xf>
    <xf numFmtId="192" fontId="48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227" fontId="102" fillId="0" borderId="1" applyFill="0" applyBorder="0" applyAlignment="0"/>
    <xf numFmtId="0" fontId="58" fillId="0" borderId="0" applyFont="0" applyFill="0" applyBorder="0" applyAlignment="0" applyProtection="0"/>
    <xf numFmtId="228" fontId="58" fillId="0" borderId="0">
      <protection locked="0"/>
    </xf>
    <xf numFmtId="229" fontId="14" fillId="0" borderId="0" applyFont="0" applyFill="0" applyBorder="0" applyAlignment="0" applyProtection="0"/>
    <xf numFmtId="230" fontId="18" fillId="0" borderId="0"/>
    <xf numFmtId="0" fontId="36" fillId="0" borderId="0"/>
    <xf numFmtId="0" fontId="84" fillId="0" borderId="0"/>
    <xf numFmtId="231" fontId="49" fillId="0" borderId="0">
      <protection locked="0"/>
    </xf>
    <xf numFmtId="192" fontId="48" fillId="0" borderId="0">
      <protection locked="0"/>
    </xf>
    <xf numFmtId="0" fontId="36" fillId="0" borderId="0" applyFont="0" applyFill="0" applyBorder="0" applyAlignment="0" applyProtection="0"/>
    <xf numFmtId="14" fontId="95" fillId="0" borderId="0" applyFill="0" applyBorder="0" applyAlignment="0"/>
    <xf numFmtId="231" fontId="49" fillId="0" borderId="0">
      <protection locked="0"/>
    </xf>
    <xf numFmtId="232" fontId="36" fillId="0" borderId="33">
      <alignment vertical="center"/>
    </xf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33" fontId="18" fillId="0" borderId="0"/>
    <xf numFmtId="234" fontId="18" fillId="0" borderId="0"/>
    <xf numFmtId="235" fontId="52" fillId="0" borderId="0">
      <protection locked="0"/>
    </xf>
    <xf numFmtId="236" fontId="52" fillId="0" borderId="0">
      <protection locked="0"/>
    </xf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217" fontId="84" fillId="0" borderId="0" applyFill="0" applyBorder="0" applyAlignment="0"/>
    <xf numFmtId="177" fontId="27" fillId="0" borderId="0" applyFill="0" applyBorder="0" applyAlignment="0"/>
    <xf numFmtId="217" fontId="84" fillId="0" borderId="0" applyFill="0" applyBorder="0" applyAlignment="0"/>
    <xf numFmtId="221" fontId="84" fillId="0" borderId="0" applyFill="0" applyBorder="0" applyAlignment="0"/>
    <xf numFmtId="177" fontId="27" fillId="0" borderId="0" applyFill="0" applyBorder="0" applyAlignment="0"/>
    <xf numFmtId="0" fontId="105" fillId="0" borderId="0" applyNumberFormat="0" applyAlignment="0">
      <alignment horizontal="left"/>
    </xf>
    <xf numFmtId="237" fontId="71" fillId="0" borderId="0" applyFont="0" applyFill="0" applyBorder="0" applyAlignment="0" applyProtection="0"/>
    <xf numFmtId="238" fontId="36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106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106" fillId="0" borderId="0">
      <protection locked="0"/>
    </xf>
    <xf numFmtId="3" fontId="107" fillId="0" borderId="0" applyFont="0" applyFill="0" applyBorder="0" applyAlignment="0" applyProtection="0"/>
    <xf numFmtId="239" fontId="49" fillId="0" borderId="0">
      <protection locked="0"/>
    </xf>
    <xf numFmtId="192" fontId="48" fillId="0" borderId="0">
      <protection locked="0"/>
    </xf>
    <xf numFmtId="2" fontId="36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2" fontId="110" fillId="0" borderId="0">
      <alignment horizontal="left"/>
    </xf>
    <xf numFmtId="183" fontId="27" fillId="0" borderId="0" applyFont="0" applyFill="0" applyBorder="0" applyAlignment="0" applyProtection="0"/>
    <xf numFmtId="38" fontId="111" fillId="21" borderId="0" applyNumberFormat="0" applyBorder="0" applyAlignment="0" applyProtection="0"/>
    <xf numFmtId="38" fontId="111" fillId="21" borderId="0" applyNumberFormat="0" applyBorder="0" applyAlignment="0" applyProtection="0"/>
    <xf numFmtId="38" fontId="111" fillId="22" borderId="0" applyNumberFormat="0" applyBorder="0" applyAlignment="0" applyProtection="0"/>
    <xf numFmtId="3" fontId="112" fillId="0" borderId="34">
      <alignment horizontal="right" vertical="center"/>
    </xf>
    <xf numFmtId="4" fontId="112" fillId="0" borderId="34">
      <alignment horizontal="right" vertical="center"/>
    </xf>
    <xf numFmtId="0" fontId="113" fillId="0" borderId="0">
      <alignment horizontal="left"/>
    </xf>
    <xf numFmtId="0" fontId="114" fillId="0" borderId="35" applyNumberFormat="0" applyAlignment="0" applyProtection="0">
      <alignment horizontal="left" vertical="center"/>
    </xf>
    <xf numFmtId="0" fontId="114" fillId="0" borderId="13">
      <alignment horizontal="left" vertical="center"/>
    </xf>
    <xf numFmtId="0" fontId="115" fillId="0" borderId="0" applyNumberFormat="0" applyFill="0" applyBorder="0" applyAlignment="0" applyProtection="0"/>
    <xf numFmtId="0" fontId="49" fillId="0" borderId="0">
      <protection locked="0"/>
    </xf>
    <xf numFmtId="0" fontId="116" fillId="0" borderId="0" applyNumberFormat="0" applyFill="0" applyBorder="0" applyAlignment="0" applyProtection="0"/>
    <xf numFmtId="0" fontId="49" fillId="0" borderId="0">
      <protection locked="0"/>
    </xf>
    <xf numFmtId="0" fontId="114" fillId="0" borderId="0" applyNumberFormat="0" applyFill="0" applyBorder="0" applyAlignment="0" applyProtection="0"/>
    <xf numFmtId="192" fontId="53" fillId="0" borderId="0">
      <protection locked="0"/>
    </xf>
    <xf numFmtId="192" fontId="117" fillId="0" borderId="0">
      <protection locked="0"/>
    </xf>
    <xf numFmtId="240" fontId="27" fillId="0" borderId="0">
      <protection locked="0"/>
    </xf>
    <xf numFmtId="192" fontId="53" fillId="0" borderId="0">
      <protection locked="0"/>
    </xf>
    <xf numFmtId="192" fontId="117" fillId="0" borderId="0">
      <protection locked="0"/>
    </xf>
    <xf numFmtId="240" fontId="27" fillId="0" borderId="0">
      <protection locked="0"/>
    </xf>
    <xf numFmtId="0" fontId="118" fillId="0" borderId="36">
      <alignment horizontal="center"/>
    </xf>
    <xf numFmtId="0" fontId="118" fillId="0" borderId="0">
      <alignment horizontal="center"/>
    </xf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10" fontId="111" fillId="21" borderId="1" applyNumberFormat="0" applyBorder="0" applyAlignment="0" applyProtection="0"/>
    <xf numFmtId="10" fontId="111" fillId="21" borderId="1" applyNumberFormat="0" applyBorder="0" applyAlignment="0" applyProtection="0"/>
    <xf numFmtId="10" fontId="111" fillId="20" borderId="1" applyNumberFormat="0" applyBorder="0" applyAlignment="0" applyProtection="0"/>
    <xf numFmtId="241" fontId="122" fillId="23" borderId="0"/>
    <xf numFmtId="183" fontId="30" fillId="0" borderId="0" applyFont="0" applyFill="0" applyBorder="0" applyAlignment="0" applyProtection="0"/>
    <xf numFmtId="0" fontId="18" fillId="0" borderId="36">
      <protection locked="0"/>
    </xf>
    <xf numFmtId="0" fontId="123" fillId="0" borderId="2">
      <alignment horizontal="center" vertical="center"/>
    </xf>
    <xf numFmtId="0" fontId="47" fillId="0" borderId="0" applyNumberFormat="0" applyFont="0" applyFill="0" applyBorder="0" applyProtection="0">
      <alignment horizontal="left" vertical="center"/>
    </xf>
    <xf numFmtId="217" fontId="84" fillId="0" borderId="0" applyFill="0" applyBorder="0" applyAlignment="0"/>
    <xf numFmtId="177" fontId="27" fillId="0" borderId="0" applyFill="0" applyBorder="0" applyAlignment="0"/>
    <xf numFmtId="217" fontId="84" fillId="0" borderId="0" applyFill="0" applyBorder="0" applyAlignment="0"/>
    <xf numFmtId="221" fontId="84" fillId="0" borderId="0" applyFill="0" applyBorder="0" applyAlignment="0"/>
    <xf numFmtId="177" fontId="27" fillId="0" borderId="0" applyFill="0" applyBorder="0" applyAlignment="0"/>
    <xf numFmtId="241" fontId="124" fillId="24" borderId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5" fillId="0" borderId="36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5" fontId="10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6" fillId="0" borderId="0" applyFont="0" applyFill="0" applyBorder="0" applyAlignment="0" applyProtection="0"/>
    <xf numFmtId="37" fontId="127" fillId="0" borderId="0"/>
    <xf numFmtId="0" fontId="128" fillId="0" borderId="0">
      <protection locked="0"/>
    </xf>
    <xf numFmtId="242" fontId="18" fillId="0" borderId="0"/>
    <xf numFmtId="243" fontId="18" fillId="0" borderId="0"/>
    <xf numFmtId="243" fontId="18" fillId="0" borderId="0"/>
    <xf numFmtId="243" fontId="18" fillId="0" borderId="0"/>
    <xf numFmtId="244" fontId="80" fillId="0" borderId="0"/>
    <xf numFmtId="245" fontId="27" fillId="0" borderId="0"/>
    <xf numFmtId="246" fontId="18" fillId="0" borderId="0"/>
    <xf numFmtId="243" fontId="1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/>
    <xf numFmtId="14" fontId="81" fillId="0" borderId="0">
      <alignment horizontal="center" wrapText="1"/>
      <protection locked="0"/>
    </xf>
    <xf numFmtId="0" fontId="27" fillId="0" borderId="0">
      <protection locked="0"/>
    </xf>
    <xf numFmtId="179" fontId="36" fillId="0" borderId="0" applyFont="0" applyFill="0" applyBorder="0" applyAlignment="0" applyProtection="0"/>
    <xf numFmtId="220" fontId="84" fillId="0" borderId="0" applyFont="0" applyFill="0" applyBorder="0" applyAlignment="0" applyProtection="0"/>
    <xf numFmtId="247" fontId="84" fillId="0" borderId="0" applyFont="0" applyFill="0" applyBorder="0" applyAlignment="0" applyProtection="0"/>
    <xf numFmtId="10" fontId="36" fillId="0" borderId="0" applyFont="0" applyFill="0" applyBorder="0" applyAlignment="0" applyProtection="0"/>
    <xf numFmtId="192" fontId="48" fillId="0" borderId="0">
      <protection locked="0"/>
    </xf>
    <xf numFmtId="192" fontId="48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248" fontId="84" fillId="0" borderId="0" applyFont="0" applyFill="0" applyBorder="0" applyAlignment="0" applyProtection="0"/>
    <xf numFmtId="217" fontId="84" fillId="0" borderId="0" applyFill="0" applyBorder="0" applyAlignment="0"/>
    <xf numFmtId="177" fontId="27" fillId="0" borderId="0" applyFill="0" applyBorder="0" applyAlignment="0"/>
    <xf numFmtId="217" fontId="84" fillId="0" borderId="0" applyFill="0" applyBorder="0" applyAlignment="0"/>
    <xf numFmtId="221" fontId="84" fillId="0" borderId="0" applyFill="0" applyBorder="0" applyAlignment="0"/>
    <xf numFmtId="177" fontId="27" fillId="0" borderId="0" applyFill="0" applyBorder="0" applyAlignment="0"/>
    <xf numFmtId="249" fontId="129" fillId="0" borderId="0"/>
    <xf numFmtId="0" fontId="28" fillId="0" borderId="0" applyNumberFormat="0" applyFont="0" applyFill="0" applyBorder="0" applyAlignment="0" applyProtection="0">
      <alignment horizontal="left"/>
    </xf>
    <xf numFmtId="0" fontId="130" fillId="25" borderId="0" applyNumberFormat="0" applyFont="0" applyBorder="0" applyAlignment="0">
      <alignment horizontal="center"/>
    </xf>
    <xf numFmtId="250" fontId="36" fillId="0" borderId="0" applyNumberFormat="0" applyFill="0" applyBorder="0" applyAlignment="0" applyProtection="0">
      <alignment horizontal="left"/>
    </xf>
    <xf numFmtId="30" fontId="131" fillId="0" borderId="0" applyNumberFormat="0" applyFill="0" applyBorder="0" applyAlignment="0" applyProtection="0">
      <alignment horizontal="left"/>
    </xf>
    <xf numFmtId="0" fontId="27" fillId="0" borderId="0"/>
    <xf numFmtId="0" fontId="130" fillId="1" borderId="13" applyNumberFormat="0" applyFont="0" applyAlignment="0">
      <alignment horizontal="center"/>
    </xf>
    <xf numFmtId="0" fontId="132" fillId="0" borderId="0" applyNumberFormat="0" applyFill="0" applyBorder="0" applyAlignment="0">
      <alignment horizontal="center"/>
    </xf>
    <xf numFmtId="183" fontId="30" fillId="0" borderId="0" applyFont="0" applyFill="0" applyBorder="0" applyAlignment="0" applyProtection="0"/>
    <xf numFmtId="0" fontId="18" fillId="0" borderId="0">
      <alignment horizontal="center"/>
    </xf>
    <xf numFmtId="0" fontId="125" fillId="0" borderId="0"/>
    <xf numFmtId="40" fontId="133" fillId="0" borderId="0" applyBorder="0">
      <alignment horizontal="right"/>
    </xf>
    <xf numFmtId="49" fontId="95" fillId="0" borderId="0" applyFill="0" applyBorder="0" applyAlignment="0"/>
    <xf numFmtId="248" fontId="84" fillId="0" borderId="0" applyFill="0" applyBorder="0" applyAlignment="0"/>
    <xf numFmtId="251" fontId="84" fillId="0" borderId="0" applyFill="0" applyBorder="0" applyAlignment="0"/>
    <xf numFmtId="49" fontId="134" fillId="0" borderId="0" applyFill="0" applyBorder="0" applyProtection="0">
      <alignment horizontal="centerContinuous" vertical="center"/>
    </xf>
    <xf numFmtId="0" fontId="135" fillId="0" borderId="0" applyFill="0" applyBorder="0" applyProtection="0">
      <alignment horizontal="centerContinuous" vertical="center"/>
    </xf>
    <xf numFmtId="0" fontId="31" fillId="21" borderId="0" applyFill="0" applyBorder="0" applyProtection="0">
      <alignment horizontal="center" vertical="center"/>
    </xf>
    <xf numFmtId="0" fontId="136" fillId="22" borderId="0">
      <alignment horizontal="centerContinuous"/>
    </xf>
    <xf numFmtId="0" fontId="136" fillId="22" borderId="0">
      <alignment horizontal="centerContinuous"/>
    </xf>
    <xf numFmtId="0" fontId="136" fillId="22" borderId="0">
      <alignment horizontal="centerContinuous"/>
    </xf>
    <xf numFmtId="0" fontId="136" fillId="22" borderId="0">
      <alignment horizontal="centerContinuous"/>
    </xf>
    <xf numFmtId="0" fontId="136" fillId="22" borderId="0">
      <alignment horizontal="centerContinuous"/>
    </xf>
    <xf numFmtId="0" fontId="136" fillId="22" borderId="0">
      <alignment horizontal="centerContinuous"/>
    </xf>
    <xf numFmtId="192" fontId="49" fillId="0" borderId="37">
      <protection locked="0"/>
    </xf>
    <xf numFmtId="192" fontId="48" fillId="0" borderId="37">
      <protection locked="0"/>
    </xf>
    <xf numFmtId="0" fontId="36" fillId="0" borderId="32" applyNumberFormat="0" applyFont="0" applyFill="0" applyAlignment="0" applyProtection="0"/>
    <xf numFmtId="0" fontId="137" fillId="0" borderId="5">
      <alignment horizontal="left"/>
    </xf>
    <xf numFmtId="2" fontId="10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10" fillId="0" borderId="0" applyNumberFormat="0" applyFont="0" applyFill="0" applyBorder="0" applyProtection="0">
      <alignment horizontal="center" vertical="center" wrapText="1"/>
    </xf>
    <xf numFmtId="0" fontId="27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9" fontId="138" fillId="0" borderId="0" applyFont="0" applyFill="0" applyBorder="0" applyAlignment="0" applyProtection="0"/>
    <xf numFmtId="195" fontId="36" fillId="0" borderId="0" applyFont="0" applyFill="0" applyBorder="0" applyAlignment="0" applyProtection="0"/>
    <xf numFmtId="0" fontId="139" fillId="0" borderId="0">
      <protection locked="0"/>
    </xf>
    <xf numFmtId="0" fontId="64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186" fontId="31" fillId="0" borderId="0"/>
    <xf numFmtId="38" fontId="31" fillId="0" borderId="0"/>
    <xf numFmtId="252" fontId="27" fillId="0" borderId="0"/>
    <xf numFmtId="0" fontId="140" fillId="0" borderId="0" applyNumberFormat="0" applyFill="0" applyBorder="0" applyAlignment="0" applyProtection="0">
      <alignment vertical="center"/>
    </xf>
    <xf numFmtId="0" fontId="141" fillId="30" borderId="38" applyNumberFormat="0" applyAlignment="0" applyProtection="0">
      <alignment vertical="center"/>
    </xf>
    <xf numFmtId="2" fontId="142" fillId="0" borderId="0" applyFont="0" applyFill="0" applyBorder="0" applyAlignment="0" applyProtection="0"/>
    <xf numFmtId="253" fontId="27" fillId="0" borderId="0">
      <protection locked="0"/>
    </xf>
    <xf numFmtId="253" fontId="27" fillId="0" borderId="0">
      <protection locked="0"/>
    </xf>
    <xf numFmtId="253" fontId="27" fillId="0" borderId="0">
      <protection locked="0"/>
    </xf>
    <xf numFmtId="2" fontId="142" fillId="0" borderId="0" applyFont="0" applyFill="0" applyBorder="0" applyAlignment="0" applyProtection="0"/>
    <xf numFmtId="253" fontId="27" fillId="0" borderId="0">
      <protection locked="0"/>
    </xf>
    <xf numFmtId="2" fontId="142" fillId="0" borderId="0" applyFont="0" applyFill="0" applyBorder="0" applyAlignment="0" applyProtection="0"/>
    <xf numFmtId="0" fontId="143" fillId="0" borderId="0" applyNumberFormat="0" applyFill="0" applyBorder="0" applyAlignment="0" applyProtection="0"/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43" fillId="0" borderId="0" applyNumberFormat="0" applyFill="0" applyBorder="0" applyAlignment="0" applyProtection="0"/>
    <xf numFmtId="0" fontId="53" fillId="0" borderId="0">
      <protection locked="0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44" fillId="0" borderId="0" applyNumberFormat="0" applyFill="0" applyBorder="0" applyAlignment="0" applyProtection="0"/>
    <xf numFmtId="0" fontId="53" fillId="0" borderId="0">
      <protection locked="0"/>
    </xf>
    <xf numFmtId="0" fontId="144" fillId="0" borderId="0" applyNumberFormat="0" applyFill="0" applyBorder="0" applyAlignment="0" applyProtection="0"/>
    <xf numFmtId="0" fontId="145" fillId="0" borderId="0"/>
    <xf numFmtId="186" fontId="58" fillId="0" borderId="0"/>
    <xf numFmtId="38" fontId="58" fillId="0" borderId="0"/>
    <xf numFmtId="254" fontId="27" fillId="0" borderId="0"/>
    <xf numFmtId="198" fontId="44" fillId="0" borderId="15" applyFont="0" applyFill="0" applyBorder="0" applyAlignment="0">
      <alignment horizontal="left" vertical="center"/>
    </xf>
    <xf numFmtId="0" fontId="18" fillId="0" borderId="0">
      <protection locked="0"/>
    </xf>
    <xf numFmtId="0" fontId="146" fillId="7" borderId="0" applyNumberFormat="0" applyBorder="0" applyAlignment="0" applyProtection="0">
      <alignment vertical="center"/>
    </xf>
    <xf numFmtId="0" fontId="142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142" fillId="0" borderId="0" applyFont="0" applyFill="0" applyBorder="0" applyAlignment="0" applyProtection="0"/>
    <xf numFmtId="0" fontId="49" fillId="0" borderId="0">
      <protection locked="0"/>
    </xf>
    <xf numFmtId="0" fontId="142" fillId="0" borderId="0" applyFont="0" applyFill="0" applyBorder="0" applyAlignment="0" applyProtection="0"/>
    <xf numFmtId="3" fontId="28" fillId="0" borderId="29">
      <alignment horizontal="center"/>
    </xf>
    <xf numFmtId="0" fontId="147" fillId="0" borderId="39">
      <alignment vertical="center"/>
    </xf>
    <xf numFmtId="0" fontId="142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142" fillId="0" borderId="0" applyFont="0" applyFill="0" applyBorder="0" applyAlignment="0" applyProtection="0"/>
    <xf numFmtId="0" fontId="49" fillId="0" borderId="0">
      <protection locked="0"/>
    </xf>
    <xf numFmtId="0" fontId="142" fillId="0" borderId="0" applyFont="0" applyFill="0" applyBorder="0" applyAlignment="0" applyProtection="0"/>
    <xf numFmtId="0" fontId="80" fillId="0" borderId="0" applyFont="0"/>
    <xf numFmtId="0" fontId="148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61" fillId="31" borderId="40" applyNumberFormat="0" applyFont="0" applyAlignment="0" applyProtection="0">
      <alignment vertical="center"/>
    </xf>
    <xf numFmtId="0" fontId="18" fillId="31" borderId="40" applyNumberFormat="0" applyFont="0" applyAlignment="0" applyProtection="0">
      <alignment vertical="center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12" fillId="0" borderId="0" applyBorder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0" fillId="0" borderId="0"/>
    <xf numFmtId="0" fontId="14" fillId="0" borderId="0" applyNumberFormat="0" applyFont="0" applyFill="0" applyBorder="0" applyProtection="0">
      <alignment horizontal="distributed" vertical="center" justifyLastLine="1"/>
    </xf>
    <xf numFmtId="41" fontId="14" fillId="0" borderId="1" applyNumberFormat="0" applyFont="0" applyFill="0" applyBorder="0" applyProtection="0">
      <alignment horizontal="distributed" vertical="center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255" fontId="14" fillId="0" borderId="0" applyFont="0" applyFill="0" applyBorder="0" applyProtection="0">
      <alignment horizontal="center" vertical="center"/>
    </xf>
    <xf numFmtId="256" fontId="14" fillId="0" borderId="0" applyFont="0" applyFill="0" applyBorder="0" applyProtection="0">
      <alignment horizontal="center" vertical="center"/>
    </xf>
    <xf numFmtId="9" fontId="58" fillId="21" borderId="0" applyFill="0" applyBorder="0" applyProtection="0">
      <alignment horizontal="right"/>
    </xf>
    <xf numFmtId="10" fontId="58" fillId="0" borderId="0" applyFill="0" applyBorder="0" applyProtection="0">
      <alignment horizontal="right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257" fontId="14" fillId="0" borderId="0" applyFont="0" applyFill="0" applyBorder="0" applyAlignment="0" applyProtection="0"/>
    <xf numFmtId="258" fontId="18" fillId="0" borderId="0" applyFont="0" applyFill="0" applyBorder="0" applyAlignment="0" applyProtection="0"/>
    <xf numFmtId="179" fontId="14" fillId="0" borderId="0" applyFont="0" applyFill="0" applyBorder="0" applyAlignment="0" applyProtection="0"/>
    <xf numFmtId="259" fontId="18" fillId="0" borderId="0" applyFont="0" applyFill="0" applyBorder="0" applyAlignment="0" applyProtection="0"/>
    <xf numFmtId="0" fontId="151" fillId="0" borderId="0"/>
    <xf numFmtId="0" fontId="152" fillId="0" borderId="0" applyFont="0" applyFill="0" applyBorder="0" applyProtection="0">
      <alignment horizontal="center" vertical="center"/>
    </xf>
    <xf numFmtId="0" fontId="152" fillId="0" borderId="0" applyFont="0" applyFill="0" applyBorder="0" applyProtection="0">
      <alignment horizontal="center" vertical="center"/>
    </xf>
    <xf numFmtId="0" fontId="153" fillId="32" borderId="0" applyNumberFormat="0" applyBorder="0" applyAlignment="0" applyProtection="0">
      <alignment vertical="center"/>
    </xf>
    <xf numFmtId="192" fontId="33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193" fontId="18" fillId="4" borderId="10">
      <protection locked="0"/>
    </xf>
    <xf numFmtId="260" fontId="154" fillId="0" borderId="12" applyFont="0" applyFill="0" applyAlignment="0" applyProtection="0">
      <alignment horizontal="center" vertical="center"/>
    </xf>
    <xf numFmtId="0" fontId="155" fillId="0" borderId="0"/>
    <xf numFmtId="261" fontId="145" fillId="0" borderId="7" applyBorder="0"/>
    <xf numFmtId="0" fontId="156" fillId="0" borderId="0"/>
    <xf numFmtId="0" fontId="14" fillId="0" borderId="0" applyNumberFormat="0" applyFont="0" applyFill="0" applyBorder="0" applyProtection="0">
      <alignment horizontal="centerContinuous" vertical="center"/>
    </xf>
    <xf numFmtId="258" fontId="18" fillId="0" borderId="0" applyNumberFormat="0" applyFont="0" applyFill="0" applyBorder="0" applyProtection="0">
      <alignment horizontal="centerContinuous" vertical="center"/>
    </xf>
    <xf numFmtId="0" fontId="157" fillId="0" borderId="2">
      <alignment vertical="center"/>
    </xf>
    <xf numFmtId="38" fontId="80" fillId="0" borderId="0">
      <alignment vertical="center" wrapText="1"/>
    </xf>
    <xf numFmtId="0" fontId="158" fillId="0" borderId="0" applyNumberFormat="0" applyFill="0" applyBorder="0" applyAlignment="0" applyProtection="0">
      <alignment vertical="center"/>
    </xf>
    <xf numFmtId="0" fontId="159" fillId="33" borderId="41" applyNumberFormat="0" applyAlignment="0" applyProtection="0">
      <alignment vertical="center"/>
    </xf>
    <xf numFmtId="0" fontId="160" fillId="0" borderId="0">
      <alignment vertical="center"/>
    </xf>
    <xf numFmtId="201" fontId="16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2" fillId="0" borderId="0" applyFont="0" applyFill="0" applyBorder="0" applyAlignment="0" applyProtection="0"/>
    <xf numFmtId="41" fontId="162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182" fontId="1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262" fontId="14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185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6" fillId="0" borderId="0"/>
    <xf numFmtId="0" fontId="36" fillId="0" borderId="0"/>
    <xf numFmtId="0" fontId="2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Font="0" applyFill="0" applyBorder="0" applyAlignment="0" applyProtection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0" borderId="42"/>
    <xf numFmtId="0" fontId="163" fillId="0" borderId="43" applyNumberFormat="0" applyFill="0" applyAlignment="0" applyProtection="0">
      <alignment vertical="center"/>
    </xf>
    <xf numFmtId="0" fontId="112" fillId="0" borderId="0"/>
    <xf numFmtId="263" fontId="112" fillId="0" borderId="1" applyBorder="0">
      <alignment vertical="center"/>
    </xf>
    <xf numFmtId="0" fontId="164" fillId="0" borderId="44" applyNumberFormat="0" applyFill="0" applyAlignment="0" applyProtection="0">
      <alignment vertical="center"/>
    </xf>
    <xf numFmtId="0" fontId="2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7" fillId="0" borderId="0" applyFont="0" applyFill="0" applyBorder="0" applyAlignment="0" applyProtection="0"/>
    <xf numFmtId="264" fontId="27" fillId="0" borderId="0" applyFont="0" applyFill="0" applyBorder="0" applyAlignment="0" applyProtection="0"/>
    <xf numFmtId="207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65" fillId="0" borderId="0">
      <alignment vertical="center"/>
    </xf>
    <xf numFmtId="0" fontId="50" fillId="0" borderId="0"/>
    <xf numFmtId="0" fontId="80" fillId="0" borderId="0" applyNumberFormat="0" applyBorder="0" applyAlignment="0">
      <alignment horizontal="centerContinuous" vertical="center"/>
    </xf>
    <xf numFmtId="0" fontId="166" fillId="11" borderId="38" applyNumberFormat="0" applyAlignment="0" applyProtection="0">
      <alignment vertical="center"/>
    </xf>
    <xf numFmtId="4" fontId="142" fillId="0" borderId="0" applyFont="0" applyFill="0" applyBorder="0" applyAlignment="0" applyProtection="0"/>
    <xf numFmtId="0" fontId="145" fillId="0" borderId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49" fillId="0" borderId="0">
      <protection locked="0"/>
    </xf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49" fillId="0" borderId="0">
      <protection locked="0"/>
    </xf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49" fillId="0" borderId="0">
      <protection locked="0"/>
    </xf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49" fillId="0" borderId="0">
      <protection locked="0"/>
    </xf>
    <xf numFmtId="4" fontId="49" fillId="0" borderId="0">
      <protection locked="0"/>
    </xf>
    <xf numFmtId="4" fontId="49" fillId="0" borderId="0">
      <protection locked="0"/>
    </xf>
    <xf numFmtId="4" fontId="49" fillId="0" borderId="0">
      <protection locked="0"/>
    </xf>
    <xf numFmtId="4" fontId="49" fillId="0" borderId="0">
      <protection locked="0"/>
    </xf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4" fontId="142" fillId="0" borderId="0" applyFont="0" applyFill="0" applyBorder="0" applyAlignment="0" applyProtection="0"/>
    <xf numFmtId="3" fontId="142" fillId="0" borderId="0" applyFont="0" applyFill="0" applyBorder="0" applyAlignment="0" applyProtection="0"/>
    <xf numFmtId="265" fontId="27" fillId="0" borderId="0">
      <protection locked="0"/>
    </xf>
    <xf numFmtId="265" fontId="27" fillId="0" borderId="0">
      <protection locked="0"/>
    </xf>
    <xf numFmtId="265" fontId="27" fillId="0" borderId="0">
      <protection locked="0"/>
    </xf>
    <xf numFmtId="3" fontId="142" fillId="0" borderId="0" applyFont="0" applyFill="0" applyBorder="0" applyAlignment="0" applyProtection="0"/>
    <xf numFmtId="265" fontId="27" fillId="0" borderId="0">
      <protection locked="0"/>
    </xf>
    <xf numFmtId="3" fontId="142" fillId="0" borderId="0" applyFont="0" applyFill="0" applyBorder="0" applyAlignment="0" applyProtection="0"/>
    <xf numFmtId="0" fontId="27" fillId="0" borderId="0"/>
    <xf numFmtId="0" fontId="37" fillId="0" borderId="0"/>
    <xf numFmtId="0" fontId="167" fillId="0" borderId="45" applyNumberFormat="0" applyFill="0" applyAlignment="0" applyProtection="0">
      <alignment vertical="center"/>
    </xf>
    <xf numFmtId="0" fontId="27" fillId="0" borderId="0">
      <alignment vertical="center"/>
    </xf>
    <xf numFmtId="0" fontId="168" fillId="0" borderId="0">
      <alignment horizontal="centerContinuous" vertical="center"/>
    </xf>
    <xf numFmtId="0" fontId="169" fillId="0" borderId="46" applyNumberFormat="0" applyFill="0" applyAlignment="0" applyProtection="0">
      <alignment vertical="center"/>
    </xf>
    <xf numFmtId="0" fontId="170" fillId="0" borderId="47" applyNumberFormat="0" applyFill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27" fillId="0" borderId="1">
      <alignment horizontal="distributed" vertical="center"/>
    </xf>
    <xf numFmtId="0" fontId="27" fillId="0" borderId="7">
      <alignment horizontal="distributed" vertical="top"/>
    </xf>
    <xf numFmtId="0" fontId="27" fillId="0" borderId="9">
      <alignment horizontal="distributed"/>
    </xf>
    <xf numFmtId="266" fontId="172" fillId="0" borderId="0">
      <alignment vertical="center"/>
    </xf>
    <xf numFmtId="0" fontId="173" fillId="8" borderId="0" applyNumberFormat="0" applyBorder="0" applyAlignment="0" applyProtection="0">
      <alignment vertical="center"/>
    </xf>
    <xf numFmtId="0" fontId="27" fillId="0" borderId="0"/>
    <xf numFmtId="4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174" fillId="30" borderId="48" applyNumberFormat="0" applyAlignment="0" applyProtection="0">
      <alignment vertical="center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7" fillId="0" borderId="0" applyFont="0" applyFill="0" applyBorder="0" applyAlignment="0" applyProtection="0"/>
    <xf numFmtId="0" fontId="18" fillId="0" borderId="0">
      <protection locked="0"/>
    </xf>
    <xf numFmtId="267" fontId="14" fillId="0" borderId="0" applyFont="0" applyFill="0" applyBorder="0" applyProtection="0">
      <alignment vertical="center"/>
    </xf>
    <xf numFmtId="38" fontId="14" fillId="0" borderId="0" applyFont="0" applyFill="0" applyBorder="0" applyProtection="0">
      <alignment vertical="center"/>
    </xf>
    <xf numFmtId="201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183" fontId="27" fillId="0" borderId="0" applyNumberFormat="0" applyFont="0" applyFill="0" applyBorder="0" applyProtection="0">
      <alignment vertical="center"/>
    </xf>
    <xf numFmtId="0" fontId="175" fillId="21" borderId="0" applyFill="0" applyBorder="0" applyProtection="0">
      <alignment horizontal="right"/>
    </xf>
    <xf numFmtId="178" fontId="58" fillId="21" borderId="0" applyFill="0" applyBorder="0" applyProtection="0">
      <alignment horizontal="right"/>
    </xf>
    <xf numFmtId="38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268" fontId="18" fillId="0" borderId="0" applyFont="0" applyFill="0" applyBorder="0" applyAlignment="0" applyProtection="0">
      <alignment vertical="center"/>
    </xf>
    <xf numFmtId="38" fontId="14" fillId="0" borderId="0" applyFill="0" applyBorder="0" applyAlignment="0" applyProtection="0">
      <alignment vertical="center"/>
    </xf>
    <xf numFmtId="269" fontId="18" fillId="0" borderId="0" applyFont="0" applyFill="0" applyBorder="0" applyAlignment="0" applyProtection="0">
      <alignment vertical="center"/>
    </xf>
    <xf numFmtId="0" fontId="31" fillId="0" borderId="0"/>
    <xf numFmtId="0" fontId="27" fillId="0" borderId="0" applyFont="0" applyFill="0" applyBorder="0" applyAlignment="0" applyProtection="0"/>
    <xf numFmtId="3" fontId="27" fillId="0" borderId="16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87" fontId="138" fillId="0" borderId="0" applyFont="0" applyFill="0" applyBorder="0" applyAlignment="0" applyProtection="0"/>
    <xf numFmtId="42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270" fontId="138" fillId="0" borderId="0" applyFont="0" applyFill="0" applyBorder="0" applyAlignment="0" applyProtection="0"/>
    <xf numFmtId="10" fontId="142" fillId="0" borderId="0" applyFont="0" applyFill="0" applyBorder="0" applyAlignment="0" applyProtection="0"/>
    <xf numFmtId="271" fontId="27" fillId="0" borderId="0">
      <protection locked="0"/>
    </xf>
    <xf numFmtId="271" fontId="27" fillId="0" borderId="0">
      <protection locked="0"/>
    </xf>
    <xf numFmtId="271" fontId="27" fillId="0" borderId="0">
      <protection locked="0"/>
    </xf>
    <xf numFmtId="10" fontId="142" fillId="0" borderId="0" applyFont="0" applyFill="0" applyBorder="0" applyAlignment="0" applyProtection="0"/>
    <xf numFmtId="271" fontId="27" fillId="0" borderId="0">
      <protection locked="0"/>
    </xf>
    <xf numFmtId="10" fontId="142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30" fillId="0" borderId="9">
      <alignment horizontal="distributed"/>
    </xf>
    <xf numFmtId="0" fontId="30" fillId="0" borderId="49">
      <alignment horizontal="distributed" vertical="center"/>
    </xf>
    <xf numFmtId="0" fontId="30" fillId="0" borderId="50">
      <alignment horizontal="distributed"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62" fillId="0" borderId="0"/>
    <xf numFmtId="0" fontId="18" fillId="0" borderId="0"/>
    <xf numFmtId="0" fontId="176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>
      <alignment vertical="center"/>
    </xf>
    <xf numFmtId="0" fontId="18" fillId="0" borderId="0"/>
    <xf numFmtId="0" fontId="27" fillId="0" borderId="0"/>
    <xf numFmtId="0" fontId="177" fillId="0" borderId="0"/>
    <xf numFmtId="0" fontId="18" fillId="0" borderId="0"/>
    <xf numFmtId="0" fontId="27" fillId="0" borderId="2">
      <alignment vertical="center" wrapText="1"/>
    </xf>
    <xf numFmtId="0" fontId="18" fillId="0" borderId="1" applyNumberFormat="0" applyFill="0" applyProtection="0">
      <alignment vertical="center"/>
    </xf>
    <xf numFmtId="0" fontId="66" fillId="0" borderId="31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0" fontId="142" fillId="0" borderId="32" applyNumberFormat="0" applyFont="0" applyFill="0" applyAlignment="0" applyProtection="0"/>
    <xf numFmtId="0" fontId="49" fillId="0" borderId="32">
      <protection locked="0"/>
    </xf>
    <xf numFmtId="0" fontId="49" fillId="0" borderId="32">
      <protection locked="0"/>
    </xf>
    <xf numFmtId="0" fontId="49" fillId="0" borderId="32">
      <protection locked="0"/>
    </xf>
    <xf numFmtId="0" fontId="142" fillId="0" borderId="32" applyNumberFormat="0" applyFont="0" applyFill="0" applyAlignment="0" applyProtection="0"/>
    <xf numFmtId="0" fontId="49" fillId="0" borderId="32">
      <protection locked="0"/>
    </xf>
    <xf numFmtId="0" fontId="142" fillId="0" borderId="32" applyNumberFormat="0" applyFont="0" applyFill="0" applyAlignment="0" applyProtection="0"/>
    <xf numFmtId="3" fontId="179" fillId="0" borderId="0" applyFont="0" applyFill="0" applyBorder="0" applyAlignment="0" applyProtection="0"/>
    <xf numFmtId="183" fontId="36" fillId="0" borderId="0" applyFont="0" applyFill="0" applyBorder="0" applyAlignment="0" applyProtection="0"/>
    <xf numFmtId="272" fontId="50" fillId="0" borderId="0" applyFont="0" applyFill="0" applyBorder="0" applyAlignment="0" applyProtection="0"/>
    <xf numFmtId="273" fontId="50" fillId="0" borderId="0" applyFont="0" applyFill="0" applyBorder="0" applyAlignment="0" applyProtection="0"/>
    <xf numFmtId="274" fontId="44" fillId="0" borderId="0" applyFont="0" applyFill="0" applyBorder="0" applyAlignment="0" applyProtection="0"/>
    <xf numFmtId="275" fontId="27" fillId="0" borderId="0">
      <protection locked="0"/>
    </xf>
    <xf numFmtId="275" fontId="27" fillId="0" borderId="0">
      <protection locked="0"/>
    </xf>
    <xf numFmtId="275" fontId="27" fillId="0" borderId="0">
      <protection locked="0"/>
    </xf>
    <xf numFmtId="276" fontId="142" fillId="0" borderId="0" applyFont="0" applyFill="0" applyBorder="0" applyAlignment="0" applyProtection="0"/>
    <xf numFmtId="275" fontId="27" fillId="0" borderId="0">
      <protection locked="0"/>
    </xf>
    <xf numFmtId="276" fontId="142" fillId="0" borderId="0" applyFont="0" applyFill="0" applyBorder="0" applyAlignment="0" applyProtection="0"/>
    <xf numFmtId="277" fontId="142" fillId="0" borderId="0" applyFont="0" applyFill="0" applyBorder="0" applyAlignment="0" applyProtection="0"/>
    <xf numFmtId="278" fontId="27" fillId="0" borderId="0">
      <protection locked="0"/>
    </xf>
    <xf numFmtId="278" fontId="27" fillId="0" borderId="0">
      <protection locked="0"/>
    </xf>
    <xf numFmtId="278" fontId="27" fillId="0" borderId="0">
      <protection locked="0"/>
    </xf>
    <xf numFmtId="277" fontId="142" fillId="0" borderId="0" applyFont="0" applyFill="0" applyBorder="0" applyAlignment="0" applyProtection="0"/>
    <xf numFmtId="278" fontId="27" fillId="0" borderId="0">
      <protection locked="0"/>
    </xf>
    <xf numFmtId="277" fontId="142" fillId="0" borderId="0" applyFont="0" applyFill="0" applyBorder="0" applyAlignment="0" applyProtection="0"/>
    <xf numFmtId="183" fontId="27" fillId="0" borderId="51"/>
  </cellStyleXfs>
  <cellXfs count="127">
    <xf numFmtId="0" fontId="0" fillId="0" borderId="0" xfId="0">
      <alignment vertical="center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6" fillId="0" borderId="0" xfId="1" applyFont="1" applyAlignment="1">
      <alignment horizontal="left" vertical="center" wrapText="1"/>
    </xf>
    <xf numFmtId="0" fontId="2" fillId="0" borderId="0" xfId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41" fontId="2" fillId="0" borderId="0" xfId="3">
      <alignment vertical="center"/>
    </xf>
    <xf numFmtId="0" fontId="7" fillId="0" borderId="0" xfId="0" applyFont="1" applyAlignment="1"/>
    <xf numFmtId="0" fontId="15" fillId="2" borderId="21" xfId="6" applyFont="1" applyFill="1" applyBorder="1" applyAlignment="1">
      <alignment horizontal="center" vertical="center" shrinkToFit="1"/>
    </xf>
    <xf numFmtId="0" fontId="16" fillId="2" borderId="22" xfId="6" applyFont="1" applyFill="1" applyBorder="1" applyAlignment="1">
      <alignment horizontal="center" vertical="center" shrinkToFit="1"/>
    </xf>
    <xf numFmtId="0" fontId="19" fillId="0" borderId="0" xfId="9" applyFont="1">
      <alignment vertical="center"/>
    </xf>
    <xf numFmtId="0" fontId="15" fillId="2" borderId="19" xfId="6" applyFont="1" applyFill="1" applyBorder="1" applyAlignment="1">
      <alignment horizontal="center" vertical="center" shrinkToFit="1"/>
    </xf>
    <xf numFmtId="0" fontId="16" fillId="2" borderId="26" xfId="6" applyFont="1" applyFill="1" applyBorder="1" applyAlignment="1">
      <alignment horizontal="center" vertical="center" shrinkToFit="1"/>
    </xf>
    <xf numFmtId="0" fontId="21" fillId="0" borderId="2" xfId="6" quotePrefix="1" applyFont="1" applyBorder="1" applyAlignment="1">
      <alignment horizontal="center" vertical="center" shrinkToFit="1"/>
    </xf>
    <xf numFmtId="0" fontId="21" fillId="0" borderId="2" xfId="6" applyFont="1" applyBorder="1" applyAlignment="1">
      <alignment horizontal="center" vertical="center" shrinkToFit="1"/>
    </xf>
    <xf numFmtId="0" fontId="21" fillId="0" borderId="17" xfId="6" applyFont="1" applyBorder="1" applyAlignment="1">
      <alignment horizontal="center" vertical="center" shrinkToFit="1"/>
    </xf>
    <xf numFmtId="0" fontId="22" fillId="0" borderId="5" xfId="6" applyFont="1" applyBorder="1" applyAlignment="1">
      <alignment horizontal="center" vertical="center"/>
    </xf>
    <xf numFmtId="186" fontId="23" fillId="0" borderId="2" xfId="12" applyNumberFormat="1" applyFont="1" applyFill="1" applyBorder="1" applyAlignment="1">
      <alignment horizontal="left" vertical="center" shrinkToFit="1"/>
    </xf>
    <xf numFmtId="181" fontId="22" fillId="0" borderId="19" xfId="14" applyNumberFormat="1" applyFont="1" applyFill="1" applyBorder="1" applyAlignment="1">
      <alignment horizontal="center" vertical="center"/>
    </xf>
    <xf numFmtId="41" fontId="22" fillId="0" borderId="2" xfId="8" quotePrefix="1" applyFont="1" applyFill="1" applyBorder="1" applyAlignment="1">
      <alignment vertical="center"/>
    </xf>
    <xf numFmtId="41" fontId="22" fillId="0" borderId="2" xfId="8" applyFont="1" applyFill="1" applyBorder="1" applyAlignment="1">
      <alignment vertical="center"/>
    </xf>
    <xf numFmtId="177" fontId="22" fillId="0" borderId="27" xfId="10" quotePrefix="1" applyNumberFormat="1" applyFont="1" applyBorder="1" applyAlignment="1">
      <alignment vertical="center"/>
    </xf>
    <xf numFmtId="0" fontId="24" fillId="0" borderId="0" xfId="9" applyFont="1">
      <alignment vertical="center"/>
    </xf>
    <xf numFmtId="0" fontId="22" fillId="0" borderId="28" xfId="6" applyFont="1" applyBorder="1" applyAlignment="1">
      <alignment horizontal="center" vertical="center"/>
    </xf>
    <xf numFmtId="183" fontId="22" fillId="0" borderId="18" xfId="11" applyNumberFormat="1" applyFont="1" applyFill="1" applyBorder="1" applyAlignment="1">
      <alignment horizontal="left" vertical="center" shrinkToFit="1"/>
    </xf>
    <xf numFmtId="186" fontId="23" fillId="0" borderId="2" xfId="12" applyNumberFormat="1" applyFont="1" applyFill="1" applyBorder="1" applyAlignment="1">
      <alignment horizontal="center" vertical="center" shrinkToFit="1"/>
    </xf>
    <xf numFmtId="181" fontId="13" fillId="0" borderId="2" xfId="15" applyNumberFormat="1" applyFont="1" applyFill="1" applyBorder="1" applyAlignment="1">
      <alignment horizontal="center" vertical="center" shrinkToFit="1"/>
    </xf>
    <xf numFmtId="41" fontId="23" fillId="0" borderId="2" xfId="8" applyFont="1" applyFill="1" applyBorder="1" applyAlignment="1">
      <alignment vertical="center"/>
    </xf>
    <xf numFmtId="41" fontId="23" fillId="0" borderId="2" xfId="8" quotePrefix="1" applyFont="1" applyFill="1" applyBorder="1" applyAlignment="1">
      <alignment vertical="center"/>
    </xf>
    <xf numFmtId="0" fontId="22" fillId="0" borderId="28" xfId="6" quotePrefix="1" applyFont="1" applyBorder="1" applyAlignment="1">
      <alignment horizontal="center" vertical="center"/>
    </xf>
    <xf numFmtId="0" fontId="23" fillId="0" borderId="2" xfId="6" quotePrefix="1" applyFont="1" applyBorder="1" applyAlignment="1">
      <alignment horizontal="center" vertical="center" shrinkToFit="1"/>
    </xf>
    <xf numFmtId="0" fontId="23" fillId="0" borderId="2" xfId="6" applyFont="1" applyBorder="1" applyAlignment="1">
      <alignment horizontal="center" vertical="center" shrinkToFit="1"/>
    </xf>
    <xf numFmtId="0" fontId="23" fillId="0" borderId="17" xfId="6" applyFont="1" applyBorder="1" applyAlignment="1">
      <alignment horizontal="center" vertical="center" shrinkToFit="1"/>
    </xf>
    <xf numFmtId="183" fontId="23" fillId="3" borderId="5" xfId="11" quotePrefix="1" applyNumberFormat="1" applyFont="1" applyFill="1" applyBorder="1" applyAlignment="1">
      <alignment horizontal="center" vertical="center" shrinkToFit="1"/>
    </xf>
    <xf numFmtId="177" fontId="23" fillId="0" borderId="27" xfId="10" quotePrefix="1" applyNumberFormat="1" applyFont="1" applyBorder="1" applyAlignment="1">
      <alignment vertical="center"/>
    </xf>
    <xf numFmtId="0" fontId="25" fillId="0" borderId="0" xfId="9" applyFont="1">
      <alignment vertical="center"/>
    </xf>
    <xf numFmtId="183" fontId="23" fillId="3" borderId="2" xfId="11" quotePrefix="1" applyNumberFormat="1" applyFont="1" applyFill="1" applyBorder="1" applyAlignment="1">
      <alignment horizontal="left" vertical="center" shrinkToFit="1"/>
    </xf>
    <xf numFmtId="186" fontId="23" fillId="0" borderId="2" xfId="12" applyNumberFormat="1" applyFont="1" applyFill="1" applyBorder="1" applyAlignment="1">
      <alignment vertical="center" shrinkToFit="1"/>
    </xf>
    <xf numFmtId="0" fontId="26" fillId="0" borderId="0" xfId="9" applyFont="1" applyAlignment="1">
      <alignment vertical="center" shrinkToFit="1"/>
    </xf>
    <xf numFmtId="0" fontId="19" fillId="0" borderId="0" xfId="9" applyFont="1" applyAlignment="1">
      <alignment horizontal="center" vertical="center"/>
    </xf>
    <xf numFmtId="181" fontId="19" fillId="0" borderId="0" xfId="9" applyNumberFormat="1" applyFont="1">
      <alignment vertical="center"/>
    </xf>
    <xf numFmtId="186" fontId="23" fillId="0" borderId="2" xfId="8" applyNumberFormat="1" applyFont="1" applyFill="1" applyBorder="1" applyAlignment="1">
      <alignment vertical="center"/>
    </xf>
    <xf numFmtId="41" fontId="180" fillId="0" borderId="2" xfId="8" applyFont="1" applyFill="1" applyBorder="1" applyAlignment="1">
      <alignment vertical="center"/>
    </xf>
    <xf numFmtId="0" fontId="22" fillId="0" borderId="19" xfId="13" applyNumberFormat="1" applyFont="1" applyFill="1" applyBorder="1" applyAlignment="1">
      <alignment horizontal="center" vertical="center"/>
    </xf>
    <xf numFmtId="3" fontId="23" fillId="0" borderId="2" xfId="8" applyNumberFormat="1" applyFont="1" applyFill="1" applyBorder="1" applyAlignment="1">
      <alignment vertical="center"/>
    </xf>
    <xf numFmtId="183" fontId="23" fillId="0" borderId="18" xfId="11" applyNumberFormat="1" applyFont="1" applyFill="1" applyBorder="1" applyAlignment="1">
      <alignment horizontal="left" vertical="center" shrinkToFit="1"/>
    </xf>
    <xf numFmtId="183" fontId="23" fillId="0" borderId="18" xfId="11" applyNumberFormat="1" applyFont="1" applyFill="1" applyBorder="1" applyAlignment="1">
      <alignment vertical="center" shrinkToFit="1"/>
    </xf>
    <xf numFmtId="181" fontId="23" fillId="0" borderId="19" xfId="14" applyNumberFormat="1" applyFont="1" applyFill="1" applyBorder="1" applyAlignment="1">
      <alignment horizontal="center" vertical="center"/>
    </xf>
    <xf numFmtId="0" fontId="186" fillId="0" borderId="0" xfId="0" applyFo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17" fillId="34" borderId="23" xfId="6" applyFont="1" applyFill="1" applyBorder="1" applyAlignment="1">
      <alignment horizontal="center" vertical="center"/>
    </xf>
    <xf numFmtId="183" fontId="17" fillId="34" borderId="24" xfId="7" applyNumberFormat="1" applyFont="1" applyFill="1" applyBorder="1" applyAlignment="1">
      <alignment horizontal="center" vertical="center"/>
    </xf>
    <xf numFmtId="184" fontId="17" fillId="34" borderId="24" xfId="6" applyNumberFormat="1" applyFont="1" applyFill="1" applyBorder="1" applyAlignment="1">
      <alignment horizontal="center" vertical="center"/>
    </xf>
    <xf numFmtId="184" fontId="17" fillId="34" borderId="24" xfId="6" applyNumberFormat="1" applyFont="1" applyFill="1" applyBorder="1" applyAlignment="1">
      <alignment vertical="center"/>
    </xf>
    <xf numFmtId="181" fontId="17" fillId="34" borderId="24" xfId="7" applyNumberFormat="1" applyFont="1" applyFill="1" applyBorder="1" applyAlignment="1">
      <alignment horizontal="center" vertical="center"/>
    </xf>
    <xf numFmtId="184" fontId="17" fillId="34" borderId="25" xfId="6" applyNumberFormat="1" applyFont="1" applyFill="1" applyBorder="1" applyAlignment="1">
      <alignment horizontal="center" vertical="center"/>
    </xf>
    <xf numFmtId="0" fontId="17" fillId="34" borderId="5" xfId="6" applyFont="1" applyFill="1" applyBorder="1" applyAlignment="1">
      <alignment horizontal="center" vertical="center"/>
    </xf>
    <xf numFmtId="183" fontId="17" fillId="34" borderId="2" xfId="7" applyNumberFormat="1" applyFont="1" applyFill="1" applyBorder="1" applyAlignment="1">
      <alignment horizontal="center" vertical="center"/>
    </xf>
    <xf numFmtId="184" fontId="17" fillId="34" borderId="2" xfId="6" applyNumberFormat="1" applyFont="1" applyFill="1" applyBorder="1" applyAlignment="1">
      <alignment horizontal="center" vertical="center"/>
    </xf>
    <xf numFmtId="184" fontId="17" fillId="34" borderId="2" xfId="6" applyNumberFormat="1" applyFont="1" applyFill="1" applyBorder="1" applyAlignment="1">
      <alignment vertical="center"/>
    </xf>
    <xf numFmtId="181" fontId="17" fillId="34" borderId="2" xfId="7" applyNumberFormat="1" applyFont="1" applyFill="1" applyBorder="1" applyAlignment="1">
      <alignment horizontal="center" vertical="center"/>
    </xf>
    <xf numFmtId="41" fontId="17" fillId="34" borderId="2" xfId="8" applyFont="1" applyFill="1" applyBorder="1" applyAlignment="1">
      <alignment horizontal="center" vertical="center"/>
    </xf>
    <xf numFmtId="184" fontId="17" fillId="34" borderId="27" xfId="6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7" fillId="34" borderId="1" xfId="1" applyFont="1" applyFill="1" applyBorder="1" applyAlignment="1">
      <alignment horizontal="center" vertical="center"/>
    </xf>
    <xf numFmtId="0" fontId="7" fillId="34" borderId="1" xfId="1" applyFont="1" applyFill="1" applyBorder="1" applyAlignment="1">
      <alignment vertical="center"/>
    </xf>
    <xf numFmtId="176" fontId="5" fillId="34" borderId="3" xfId="4" applyNumberFormat="1" applyFont="1" applyFill="1" applyBorder="1" applyAlignment="1">
      <alignment horizontal="center" vertical="center"/>
    </xf>
    <xf numFmtId="0" fontId="181" fillId="0" borderId="0" xfId="0" applyFont="1">
      <alignment vertical="center"/>
    </xf>
    <xf numFmtId="0" fontId="191" fillId="0" borderId="0" xfId="0" applyFont="1" applyAlignment="1"/>
    <xf numFmtId="0" fontId="192" fillId="0" borderId="0" xfId="0" applyFont="1">
      <alignment vertical="center"/>
    </xf>
    <xf numFmtId="41" fontId="22" fillId="35" borderId="2" xfId="8" applyFont="1" applyFill="1" applyBorder="1" applyAlignment="1">
      <alignment vertical="center"/>
    </xf>
    <xf numFmtId="41" fontId="180" fillId="35" borderId="2" xfId="8" applyFont="1" applyFill="1" applyBorder="1" applyAlignment="1">
      <alignment vertical="center"/>
    </xf>
    <xf numFmtId="41" fontId="4" fillId="34" borderId="1" xfId="4" applyNumberFormat="1" applyFont="1" applyFill="1" applyBorder="1" applyAlignment="1">
      <alignment vertical="center"/>
    </xf>
    <xf numFmtId="41" fontId="183" fillId="35" borderId="18" xfId="8" applyFont="1" applyFill="1" applyBorder="1" applyAlignment="1">
      <alignment vertical="center"/>
    </xf>
    <xf numFmtId="41" fontId="183" fillId="35" borderId="9" xfId="8" applyFont="1" applyFill="1" applyBorder="1" applyAlignment="1">
      <alignment vertical="center"/>
    </xf>
    <xf numFmtId="41" fontId="183" fillId="35" borderId="1" xfId="8" applyFont="1" applyFill="1" applyBorder="1" applyAlignment="1">
      <alignment vertical="center"/>
    </xf>
    <xf numFmtId="41" fontId="183" fillId="35" borderId="19" xfId="8" applyFont="1" applyFill="1" applyBorder="1" applyAlignment="1">
      <alignment vertical="center"/>
    </xf>
    <xf numFmtId="41" fontId="23" fillId="35" borderId="2" xfId="8" applyFont="1" applyFill="1" applyBorder="1" applyAlignment="1">
      <alignment vertical="center"/>
    </xf>
    <xf numFmtId="183" fontId="23" fillId="3" borderId="5" xfId="11" applyNumberFormat="1" applyFont="1" applyFill="1" applyBorder="1" applyAlignment="1">
      <alignment horizontal="center" vertical="center" shrinkToFit="1"/>
    </xf>
    <xf numFmtId="0" fontId="180" fillId="0" borderId="28" xfId="6" applyFont="1" applyBorder="1" applyAlignment="1">
      <alignment horizontal="center" vertical="center"/>
    </xf>
    <xf numFmtId="177" fontId="180" fillId="0" borderId="27" xfId="10" quotePrefix="1" applyNumberFormat="1" applyFont="1" applyBorder="1" applyAlignment="1">
      <alignment vertical="center"/>
    </xf>
    <xf numFmtId="191" fontId="23" fillId="0" borderId="2" xfId="12" applyNumberFormat="1" applyFont="1" applyFill="1" applyBorder="1" applyAlignment="1">
      <alignment horizontal="center" vertical="center" shrinkToFit="1"/>
    </xf>
    <xf numFmtId="186" fontId="182" fillId="0" borderId="2" xfId="12" applyNumberFormat="1" applyFont="1" applyFill="1" applyBorder="1" applyAlignment="1">
      <alignment vertical="center" shrinkToFit="1"/>
    </xf>
    <xf numFmtId="0" fontId="186" fillId="0" borderId="0" xfId="0" applyFont="1">
      <alignment vertical="center"/>
    </xf>
    <xf numFmtId="0" fontId="0" fillId="0" borderId="0" xfId="0">
      <alignment vertical="center"/>
    </xf>
    <xf numFmtId="0" fontId="191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186" fontId="7" fillId="0" borderId="6" xfId="1" applyNumberFormat="1" applyFont="1" applyBorder="1" applyAlignment="1">
      <alignment horizontal="right" vertical="center"/>
    </xf>
    <xf numFmtId="186" fontId="7" fillId="0" borderId="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34" borderId="6" xfId="1" applyFont="1" applyFill="1" applyBorder="1" applyAlignment="1">
      <alignment horizontal="center" vertical="center"/>
    </xf>
    <xf numFmtId="0" fontId="7" fillId="34" borderId="3" xfId="1" applyFont="1" applyFill="1" applyBorder="1" applyAlignment="1">
      <alignment horizontal="center" vertical="center"/>
    </xf>
    <xf numFmtId="186" fontId="7" fillId="0" borderId="6" xfId="1" applyNumberFormat="1" applyFont="1" applyBorder="1" applyAlignment="1">
      <alignment horizontal="center" vertical="center"/>
    </xf>
    <xf numFmtId="186" fontId="7" fillId="0" borderId="3" xfId="1" applyNumberFormat="1" applyFont="1" applyBorder="1" applyAlignment="1">
      <alignment horizontal="center" vertical="center"/>
    </xf>
    <xf numFmtId="0" fontId="7" fillId="0" borderId="0" xfId="0" applyFont="1" applyAlignment="1"/>
    <xf numFmtId="0" fontId="181" fillId="0" borderId="0" xfId="0" applyFont="1">
      <alignment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10" fillId="0" borderId="0" xfId="1" applyFont="1" applyAlignment="1">
      <alignment horizontal="distributed" vertical="center"/>
    </xf>
    <xf numFmtId="0" fontId="181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20" xfId="0" applyBorder="1">
      <alignment vertical="center"/>
    </xf>
    <xf numFmtId="279" fontId="10" fillId="0" borderId="0" xfId="1" applyNumberFormat="1" applyFont="1" applyAlignment="1">
      <alignment horizontal="distributed" vertical="center"/>
    </xf>
    <xf numFmtId="0" fontId="187" fillId="34" borderId="9" xfId="1" applyFont="1" applyFill="1" applyBorder="1" applyAlignment="1">
      <alignment horizontal="center" vertical="center"/>
    </xf>
    <xf numFmtId="0" fontId="187" fillId="34" borderId="7" xfId="1" applyFont="1" applyFill="1" applyBorder="1" applyAlignment="1">
      <alignment horizontal="center" vertical="center"/>
    </xf>
    <xf numFmtId="0" fontId="188" fillId="34" borderId="8" xfId="1" applyFont="1" applyFill="1" applyBorder="1" applyAlignment="1">
      <alignment horizontal="center" vertical="center" shrinkToFit="1"/>
    </xf>
    <xf numFmtId="0" fontId="188" fillId="34" borderId="11" xfId="1" applyFont="1" applyFill="1" applyBorder="1" applyAlignment="1">
      <alignment horizontal="center" vertical="center" shrinkToFit="1"/>
    </xf>
    <xf numFmtId="0" fontId="188" fillId="34" borderId="14" xfId="1" applyFont="1" applyFill="1" applyBorder="1" applyAlignment="1">
      <alignment horizontal="center" vertical="center" shrinkToFit="1"/>
    </xf>
    <xf numFmtId="0" fontId="188" fillId="34" borderId="12" xfId="1" applyFont="1" applyFill="1" applyBorder="1" applyAlignment="1">
      <alignment horizontal="center" vertical="center" shrinkToFit="1"/>
    </xf>
    <xf numFmtId="176" fontId="189" fillId="34" borderId="8" xfId="2" applyNumberFormat="1" applyFont="1" applyFill="1" applyBorder="1" applyAlignment="1">
      <alignment horizontal="center" vertical="center"/>
    </xf>
    <xf numFmtId="176" fontId="189" fillId="34" borderId="4" xfId="2" applyNumberFormat="1" applyFont="1" applyFill="1" applyBorder="1" applyAlignment="1">
      <alignment horizontal="center" vertical="center"/>
    </xf>
    <xf numFmtId="176" fontId="189" fillId="34" borderId="11" xfId="2" applyNumberFormat="1" applyFont="1" applyFill="1" applyBorder="1" applyAlignment="1">
      <alignment horizontal="center" vertical="center"/>
    </xf>
    <xf numFmtId="176" fontId="189" fillId="34" borderId="14" xfId="2" applyNumberFormat="1" applyFont="1" applyFill="1" applyBorder="1" applyAlignment="1">
      <alignment horizontal="center" vertical="center"/>
    </xf>
    <xf numFmtId="176" fontId="189" fillId="34" borderId="20" xfId="2" applyNumberFormat="1" applyFont="1" applyFill="1" applyBorder="1" applyAlignment="1">
      <alignment horizontal="center" vertical="center"/>
    </xf>
    <xf numFmtId="176" fontId="189" fillId="34" borderId="12" xfId="2" applyNumberFormat="1" applyFont="1" applyFill="1" applyBorder="1" applyAlignment="1">
      <alignment horizontal="center" vertical="center"/>
    </xf>
    <xf numFmtId="0" fontId="184" fillId="0" borderId="0" xfId="1" applyFont="1" applyAlignment="1">
      <alignment horizontal="center" vertical="center"/>
    </xf>
    <xf numFmtId="0" fontId="18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41" fontId="17" fillId="34" borderId="24" xfId="8" applyFont="1" applyFill="1" applyBorder="1" applyAlignment="1">
      <alignment horizontal="center" vertical="center"/>
    </xf>
  </cellXfs>
  <cellStyles count="5641">
    <cellStyle name=" " xfId="16" xr:uid="{00000000-0005-0000-0000-000000000000}"/>
    <cellStyle name="' '" xfId="17" xr:uid="{00000000-0005-0000-0000-000001000000}"/>
    <cellStyle name=" _11월기성" xfId="18" xr:uid="{00000000-0005-0000-0000-000002000000}"/>
    <cellStyle name=" _8월기성" xfId="19" xr:uid="{00000000-0005-0000-0000-000003000000}"/>
    <cellStyle name=" _97연말" xfId="20" xr:uid="{00000000-0005-0000-0000-000004000000}"/>
    <cellStyle name=" _97연말_11월기성" xfId="21" xr:uid="{00000000-0005-0000-0000-000005000000}"/>
    <cellStyle name=" _97연말_8월기성" xfId="22" xr:uid="{00000000-0005-0000-0000-000006000000}"/>
    <cellStyle name=" _97연말_도장 물량 산출서" xfId="23" xr:uid="{00000000-0005-0000-0000-000007000000}"/>
    <cellStyle name=" _97연말_도장 현설단가" xfId="24" xr:uid="{00000000-0005-0000-0000-000008000000}"/>
    <cellStyle name=" _97연말_도장현설" xfId="25" xr:uid="{00000000-0005-0000-0000-000009000000}"/>
    <cellStyle name=" _97연말_목공10월" xfId="26" xr:uid="{00000000-0005-0000-0000-00000A000000}"/>
    <cellStyle name=" _97연말_습식 현장설명서" xfId="27" xr:uid="{00000000-0005-0000-0000-00000B000000}"/>
    <cellStyle name=" _97연말_실행내역서-건대스타시티-080401" xfId="28" xr:uid="{00000000-0005-0000-0000-00000C000000}"/>
    <cellStyle name=" _97연말_정산내역서(부현)" xfId="29" xr:uid="{00000000-0005-0000-0000-00000D000000}"/>
    <cellStyle name=" _97연말_정산-물량산출근거(신강지점)" xfId="30" xr:uid="{00000000-0005-0000-0000-00000E000000}"/>
    <cellStyle name=" _97연말_정산요청내역" xfId="31" xr:uid="{00000000-0005-0000-0000-00000F000000}"/>
    <cellStyle name=" _97연말1" xfId="32" xr:uid="{00000000-0005-0000-0000-000010000000}"/>
    <cellStyle name=" _97연말1_11월기성" xfId="33" xr:uid="{00000000-0005-0000-0000-000011000000}"/>
    <cellStyle name=" _97연말1_8월기성" xfId="34" xr:uid="{00000000-0005-0000-0000-000012000000}"/>
    <cellStyle name=" _97연말1_도장 물량 산출서" xfId="35" xr:uid="{00000000-0005-0000-0000-000013000000}"/>
    <cellStyle name=" _97연말1_도장 현설단가" xfId="36" xr:uid="{00000000-0005-0000-0000-000014000000}"/>
    <cellStyle name=" _97연말1_도장현설" xfId="37" xr:uid="{00000000-0005-0000-0000-000015000000}"/>
    <cellStyle name=" _97연말1_목공10월" xfId="38" xr:uid="{00000000-0005-0000-0000-000016000000}"/>
    <cellStyle name=" _97연말1_습식 현장설명서" xfId="39" xr:uid="{00000000-0005-0000-0000-000017000000}"/>
    <cellStyle name=" _97연말1_실행내역서-건대스타시티-080401" xfId="40" xr:uid="{00000000-0005-0000-0000-000018000000}"/>
    <cellStyle name=" _97연말1_정산내역서(부현)" xfId="41" xr:uid="{00000000-0005-0000-0000-000019000000}"/>
    <cellStyle name=" _97연말1_정산-물량산출근거(신강지점)" xfId="42" xr:uid="{00000000-0005-0000-0000-00001A000000}"/>
    <cellStyle name=" _97연말1_정산요청내역" xfId="43" xr:uid="{00000000-0005-0000-0000-00001B000000}"/>
    <cellStyle name=" _Book1" xfId="44" xr:uid="{00000000-0005-0000-0000-00001C000000}"/>
    <cellStyle name=" _Book1_11월기성" xfId="45" xr:uid="{00000000-0005-0000-0000-00001D000000}"/>
    <cellStyle name=" _Book1_8월기성" xfId="46" xr:uid="{00000000-0005-0000-0000-00001E000000}"/>
    <cellStyle name=" _Book1_도장 물량 산출서" xfId="47" xr:uid="{00000000-0005-0000-0000-00001F000000}"/>
    <cellStyle name=" _Book1_도장 현설단가" xfId="48" xr:uid="{00000000-0005-0000-0000-000020000000}"/>
    <cellStyle name=" _Book1_도장현설" xfId="49" xr:uid="{00000000-0005-0000-0000-000021000000}"/>
    <cellStyle name=" _Book1_목공10월" xfId="50" xr:uid="{00000000-0005-0000-0000-000022000000}"/>
    <cellStyle name=" _Book1_습식 현장설명서" xfId="51" xr:uid="{00000000-0005-0000-0000-000023000000}"/>
    <cellStyle name=" _Book1_실행내역서-건대스타시티-080401" xfId="52" xr:uid="{00000000-0005-0000-0000-000024000000}"/>
    <cellStyle name=" _Book1_정산내역서(부현)" xfId="53" xr:uid="{00000000-0005-0000-0000-000025000000}"/>
    <cellStyle name=" _Book1_정산-물량산출근거(신강지점)" xfId="54" xr:uid="{00000000-0005-0000-0000-000026000000}"/>
    <cellStyle name=" _Book1_정산요청내역" xfId="55" xr:uid="{00000000-0005-0000-0000-000027000000}"/>
    <cellStyle name=" _도장 물량 산출서" xfId="56" xr:uid="{00000000-0005-0000-0000-000028000000}"/>
    <cellStyle name=" _도장 현설단가" xfId="57" xr:uid="{00000000-0005-0000-0000-000029000000}"/>
    <cellStyle name=" _도장현설" xfId="58" xr:uid="{00000000-0005-0000-0000-00002A000000}"/>
    <cellStyle name=" _목공10월" xfId="59" xr:uid="{00000000-0005-0000-0000-00002B000000}"/>
    <cellStyle name=" _습식 현장설명서" xfId="60" xr:uid="{00000000-0005-0000-0000-00002C000000}"/>
    <cellStyle name=" _실행내역서-건대스타시티-080401" xfId="61" xr:uid="{00000000-0005-0000-0000-00002D000000}"/>
    <cellStyle name=" _정산내역서(부현)" xfId="62" xr:uid="{00000000-0005-0000-0000-00002E000000}"/>
    <cellStyle name=" _정산-물량산출근거(신강지점)" xfId="63" xr:uid="{00000000-0005-0000-0000-00002F000000}"/>
    <cellStyle name=" _정산요청내역" xfId="64" xr:uid="{00000000-0005-0000-0000-000030000000}"/>
    <cellStyle name="&quot;" xfId="65" xr:uid="{00000000-0005-0000-0000-000031000000}"/>
    <cellStyle name="&quot;큰제목&quot;" xfId="66" xr:uid="{00000000-0005-0000-0000-000032000000}"/>
    <cellStyle name="#,##0" xfId="67" xr:uid="{00000000-0005-0000-0000-000033000000}"/>
    <cellStyle name="$" xfId="68" xr:uid="{00000000-0005-0000-0000-000034000000}"/>
    <cellStyle name="_x0004__x0004__x0019__x001b__x0004_$_x0010__x0010__x0008__x0001_" xfId="69" xr:uid="{00000000-0005-0000-0000-000035000000}"/>
    <cellStyle name="$_db진흥" xfId="70" xr:uid="{00000000-0005-0000-0000-000036000000}"/>
    <cellStyle name="$_db진흥 2" xfId="71" xr:uid="{00000000-0005-0000-0000-000037000000}"/>
    <cellStyle name="$_SE40" xfId="72" xr:uid="{00000000-0005-0000-0000-000038000000}"/>
    <cellStyle name="$_견적2" xfId="73" xr:uid="{00000000-0005-0000-0000-000039000000}"/>
    <cellStyle name="$_견적2 2" xfId="74" xr:uid="{00000000-0005-0000-0000-00003A000000}"/>
    <cellStyle name="$_기아" xfId="75" xr:uid="{00000000-0005-0000-0000-00003B000000}"/>
    <cellStyle name="$_기아 2" xfId="76" xr:uid="{00000000-0005-0000-0000-00003C000000}"/>
    <cellStyle name="(##.00)" xfId="77" xr:uid="{00000000-0005-0000-0000-00003D000000}"/>
    <cellStyle name="(##.00) 2" xfId="78" xr:uid="{00000000-0005-0000-0000-00003E000000}"/>
    <cellStyle name="(△콤마)" xfId="79" xr:uid="{00000000-0005-0000-0000-00003F000000}"/>
    <cellStyle name="(백분율)" xfId="80" xr:uid="{00000000-0005-0000-0000-000040000000}"/>
    <cellStyle name="(콤마)" xfId="81" xr:uid="{00000000-0005-0000-0000-000041000000}"/>
    <cellStyle name="(표준)" xfId="82" xr:uid="{00000000-0005-0000-0000-000042000000}"/>
    <cellStyle name="?" xfId="83" xr:uid="{00000000-0005-0000-0000-000043000000}"/>
    <cellStyle name="?_x0001_?" xfId="84" xr:uid="{00000000-0005-0000-0000-000044000000}"/>
    <cellStyle name="?? [0.00]_PRODUCT DETAIL Q1" xfId="85" xr:uid="{00000000-0005-0000-0000-000045000000}"/>
    <cellStyle name="?? [0]_????? " xfId="86" xr:uid="{00000000-0005-0000-0000-000046000000}"/>
    <cellStyle name="??_x000c_둄_x001b__x000d_|?_x0001_?_x0003__x0014__x0007__x0001__x0001_" xfId="87" xr:uid="{00000000-0005-0000-0000-000047000000}"/>
    <cellStyle name="??&amp;5_x0007_?._x0007_9_x0008_??_x0007__x0001__x0001_" xfId="88" xr:uid="{00000000-0005-0000-0000-000048000000}"/>
    <cellStyle name="??&amp;6_x0007_?/_x0007_9_x0008_??_x0007__x0001__x0001_" xfId="89" xr:uid="{00000000-0005-0000-0000-000049000000}"/>
    <cellStyle name="??&amp;O?&amp;H?_x0008__x000f__x0007_?_x0007__x0001__x0001_" xfId="90" xr:uid="{00000000-0005-0000-0000-00004A000000}"/>
    <cellStyle name="??&amp;O?&amp;H?_x0008_??_x0007__x0001__x0001_" xfId="91" xr:uid="{00000000-0005-0000-0000-00004B000000}"/>
    <cellStyle name="??&amp;O?&amp;H?_x0008__x000f__x0007_?_x0007__x0001__x0001__신세계 백화점 (강남점) GUCCI" xfId="92" xr:uid="{00000000-0005-0000-0000-00004C000000}"/>
    <cellStyle name="??&amp;멅?둃9_x0008_??_x0007__x0001__x0001_" xfId="93" xr:uid="{00000000-0005-0000-0000-00004D000000}"/>
    <cellStyle name="???­ [0]_¸???" xfId="94" xr:uid="{00000000-0005-0000-0000-00004E000000}"/>
    <cellStyle name="????Æ?¸???" xfId="95" xr:uid="{00000000-0005-0000-0000-00004F000000}"/>
    <cellStyle name="???­_¸???" xfId="96" xr:uid="{00000000-0005-0000-0000-000050000000}"/>
    <cellStyle name="???Ø_(?¤º¸º?¹?)¿?º°??¿ø°??¹" xfId="97" xr:uid="{00000000-0005-0000-0000-000051000000}"/>
    <cellStyle name="??_????? " xfId="98" xr:uid="{00000000-0005-0000-0000-000052000000}"/>
    <cellStyle name="?_x0001_?_견적대비표-하드웨어" xfId="99" xr:uid="{00000000-0005-0000-0000-000053000000}"/>
    <cellStyle name="??¿¡ ¿?´? ????Æ?¸???" xfId="100" xr:uid="{00000000-0005-0000-0000-000054000000}"/>
    <cellStyle name="?_견적대비표-하드웨어" xfId="101" xr:uid="{00000000-0005-0000-0000-000055000000}"/>
    <cellStyle name="?_견적대비표-하드웨어_1. 가실행예산(0629 도면기준)" xfId="102" xr:uid="{00000000-0005-0000-0000-000056000000}"/>
    <cellStyle name="?_견적대비표-하드웨어_1. 가실행예산(0629 도면기준)_4.일신통신 가실행예산(재견적合)" xfId="103" xr:uid="{00000000-0005-0000-0000-000057000000}"/>
    <cellStyle name="?_견적대비표-하드웨어_1. 가실행예산(0629 도면기준)_을" xfId="104" xr:uid="{00000000-0005-0000-0000-000058000000}"/>
    <cellStyle name="?_견적대비표-하드웨어_1.본실행 - 조정(안)" xfId="105" xr:uid="{00000000-0005-0000-0000-000059000000}"/>
    <cellStyle name="?_견적대비표-하드웨어_1.본실행 - 조정(안)_4.일신통신 가실행예산(재견적合)" xfId="106" xr:uid="{00000000-0005-0000-0000-00005A000000}"/>
    <cellStyle name="?_견적대비표-하드웨어_1.본실행 - 조정(안)_을" xfId="107" xr:uid="{00000000-0005-0000-0000-00005B000000}"/>
    <cellStyle name="?_견적대비표-하드웨어_4.일신통신 가실행예산(재견적合)" xfId="108" xr:uid="{00000000-0005-0000-0000-00005C000000}"/>
    <cellStyle name="?_견적대비표-하드웨어_국립암센터-두산" xfId="109" xr:uid="{00000000-0005-0000-0000-00005D000000}"/>
    <cellStyle name="?_견적대비표-하드웨어_국립암센터-두산_1. 가실행예산(0629 도면기준)" xfId="110" xr:uid="{00000000-0005-0000-0000-00005E000000}"/>
    <cellStyle name="?_견적대비표-하드웨어_국립암센터-두산_1. 가실행예산(0629 도면기준)_4.일신통신 가실행예산(재견적合)" xfId="111" xr:uid="{00000000-0005-0000-0000-00005F000000}"/>
    <cellStyle name="?_견적대비표-하드웨어_국립암센터-두산_1. 가실행예산(0629 도면기준)_을" xfId="112" xr:uid="{00000000-0005-0000-0000-000060000000}"/>
    <cellStyle name="?_견적대비표-하드웨어_국립암센터-두산_1.본실행 - 조정(안)" xfId="113" xr:uid="{00000000-0005-0000-0000-000061000000}"/>
    <cellStyle name="?_견적대비표-하드웨어_국립암센터-두산_1.본실행 - 조정(안)_4.일신통신 가실행예산(재견적合)" xfId="114" xr:uid="{00000000-0005-0000-0000-000062000000}"/>
    <cellStyle name="?_견적대비표-하드웨어_국립암센터-두산_1.본실행 - 조정(안)_을" xfId="115" xr:uid="{00000000-0005-0000-0000-000063000000}"/>
    <cellStyle name="?_견적대비표-하드웨어_국립암센터-두산_4.일신통신 가실행예산(재견적合)" xfId="116" xr:uid="{00000000-0005-0000-0000-000064000000}"/>
    <cellStyle name="?_견적대비표-하드웨어_국립암센터-두산_을" xfId="117" xr:uid="{00000000-0005-0000-0000-000065000000}"/>
    <cellStyle name="?_견적대비표-하드웨어_국립암센터-두산_총괄 내역서" xfId="118" xr:uid="{00000000-0005-0000-0000-000066000000}"/>
    <cellStyle name="?_견적대비표-하드웨어_국립암센터-두산_총괄 내역서_4.일신통신 가실행예산(재견적合)" xfId="119" xr:uid="{00000000-0005-0000-0000-000067000000}"/>
    <cellStyle name="?_견적대비표-하드웨어_국립암센터-두산_총괄 내역서_을" xfId="120" xr:uid="{00000000-0005-0000-0000-000068000000}"/>
    <cellStyle name="?_견적대비표-하드웨어_미지급품의서" xfId="121" xr:uid="{00000000-0005-0000-0000-000069000000}"/>
    <cellStyle name="?_견적대비표-하드웨어_미지급품의서_1. 가실행예산(0629 도면기준)" xfId="122" xr:uid="{00000000-0005-0000-0000-00006A000000}"/>
    <cellStyle name="?_견적대비표-하드웨어_미지급품의서_1. 가실행예산(0629 도면기준)_4.일신통신 가실행예산(재견적合)" xfId="123" xr:uid="{00000000-0005-0000-0000-00006B000000}"/>
    <cellStyle name="?_견적대비표-하드웨어_미지급품의서_1. 가실행예산(0629 도면기준)_을" xfId="124" xr:uid="{00000000-0005-0000-0000-00006C000000}"/>
    <cellStyle name="?_견적대비표-하드웨어_미지급품의서_1.본실행 - 조정(안)" xfId="125" xr:uid="{00000000-0005-0000-0000-00006D000000}"/>
    <cellStyle name="?_견적대비표-하드웨어_미지급품의서_1.본실행 - 조정(안)_4.일신통신 가실행예산(재견적合)" xfId="126" xr:uid="{00000000-0005-0000-0000-00006E000000}"/>
    <cellStyle name="?_견적대비표-하드웨어_미지급품의서_1.본실행 - 조정(안)_을" xfId="127" xr:uid="{00000000-0005-0000-0000-00006F000000}"/>
    <cellStyle name="?_견적대비표-하드웨어_미지급품의서_4.일신통신 가실행예산(재견적合)" xfId="128" xr:uid="{00000000-0005-0000-0000-000070000000}"/>
    <cellStyle name="?_견적대비표-하드웨어_미지급품의서_국립암센터-두산" xfId="129" xr:uid="{00000000-0005-0000-0000-000071000000}"/>
    <cellStyle name="?_견적대비표-하드웨어_미지급품의서_국립암센터-두산_1. 가실행예산(0629 도면기준)" xfId="130" xr:uid="{00000000-0005-0000-0000-000072000000}"/>
    <cellStyle name="?_견적대비표-하드웨어_미지급품의서_국립암센터-두산_1. 가실행예산(0629 도면기준)_4.일신통신 가실행예산(재견적合)" xfId="131" xr:uid="{00000000-0005-0000-0000-000073000000}"/>
    <cellStyle name="?_견적대비표-하드웨어_미지급품의서_국립암센터-두산_1. 가실행예산(0629 도면기준)_을" xfId="132" xr:uid="{00000000-0005-0000-0000-000074000000}"/>
    <cellStyle name="?_견적대비표-하드웨어_미지급품의서_국립암센터-두산_1.본실행 - 조정(안)" xfId="133" xr:uid="{00000000-0005-0000-0000-000075000000}"/>
    <cellStyle name="?_견적대비표-하드웨어_미지급품의서_국립암센터-두산_1.본실행 - 조정(안)_4.일신통신 가실행예산(재견적合)" xfId="134" xr:uid="{00000000-0005-0000-0000-000076000000}"/>
    <cellStyle name="?_견적대비표-하드웨어_미지급품의서_국립암센터-두산_1.본실행 - 조정(안)_을" xfId="135" xr:uid="{00000000-0005-0000-0000-000077000000}"/>
    <cellStyle name="?_견적대비표-하드웨어_미지급품의서_국립암센터-두산_4.일신통신 가실행예산(재견적合)" xfId="136" xr:uid="{00000000-0005-0000-0000-000078000000}"/>
    <cellStyle name="?_견적대비표-하드웨어_미지급품의서_국립암센터-두산_을" xfId="137" xr:uid="{00000000-0005-0000-0000-000079000000}"/>
    <cellStyle name="?_견적대비표-하드웨어_미지급품의서_국립암센터-두산_총괄 내역서" xfId="138" xr:uid="{00000000-0005-0000-0000-00007A000000}"/>
    <cellStyle name="?_견적대비표-하드웨어_미지급품의서_국립암센터-두산_총괄 내역서_4.일신통신 가실행예산(재견적合)" xfId="139" xr:uid="{00000000-0005-0000-0000-00007B000000}"/>
    <cellStyle name="?_견적대비표-하드웨어_미지급품의서_국립암센터-두산_총괄 내역서_을" xfId="140" xr:uid="{00000000-0005-0000-0000-00007C000000}"/>
    <cellStyle name="?_견적대비표-하드웨어_미지급품의서_을" xfId="141" xr:uid="{00000000-0005-0000-0000-00007D000000}"/>
    <cellStyle name="?_견적대비표-하드웨어_미지급품의서_총괄 내역서" xfId="142" xr:uid="{00000000-0005-0000-0000-00007E000000}"/>
    <cellStyle name="?_견적대비표-하드웨어_미지급품의서_총괄 내역서_4.일신통신 가실행예산(재견적合)" xfId="143" xr:uid="{00000000-0005-0000-0000-00007F000000}"/>
    <cellStyle name="?_견적대비표-하드웨어_미지급품의서_총괄 내역서_을" xfId="144" xr:uid="{00000000-0005-0000-0000-000080000000}"/>
    <cellStyle name="?_견적대비표-하드웨어_을" xfId="145" xr:uid="{00000000-0005-0000-0000-000081000000}"/>
    <cellStyle name="?_견적대비표-하드웨어_지장전주이설" xfId="146" xr:uid="{00000000-0005-0000-0000-000082000000}"/>
    <cellStyle name="?_견적대비표-하드웨어_지장전주이설_1. 가실행예산(0629 도면기준)" xfId="147" xr:uid="{00000000-0005-0000-0000-000083000000}"/>
    <cellStyle name="?_견적대비표-하드웨어_지장전주이설_1. 가실행예산(0629 도면기준)_4.일신통신 가실행예산(재견적合)" xfId="148" xr:uid="{00000000-0005-0000-0000-000084000000}"/>
    <cellStyle name="?_견적대비표-하드웨어_지장전주이설_1. 가실행예산(0629 도면기준)_을" xfId="149" xr:uid="{00000000-0005-0000-0000-000085000000}"/>
    <cellStyle name="?_견적대비표-하드웨어_지장전주이설_1.본실행 - 조정(안)" xfId="150" xr:uid="{00000000-0005-0000-0000-000086000000}"/>
    <cellStyle name="?_견적대비표-하드웨어_지장전주이설_1.본실행 - 조정(안)_4.일신통신 가실행예산(재견적合)" xfId="151" xr:uid="{00000000-0005-0000-0000-000087000000}"/>
    <cellStyle name="?_견적대비표-하드웨어_지장전주이설_1.본실행 - 조정(안)_을" xfId="152" xr:uid="{00000000-0005-0000-0000-000088000000}"/>
    <cellStyle name="?_견적대비표-하드웨어_지장전주이설_4.일신통신 가실행예산(재견적合)" xfId="153" xr:uid="{00000000-0005-0000-0000-000089000000}"/>
    <cellStyle name="?_견적대비표-하드웨어_지장전주이설_국립암센터-두산" xfId="154" xr:uid="{00000000-0005-0000-0000-00008A000000}"/>
    <cellStyle name="?_견적대비표-하드웨어_지장전주이설_국립암센터-두산_1. 가실행예산(0629 도면기준)" xfId="155" xr:uid="{00000000-0005-0000-0000-00008B000000}"/>
    <cellStyle name="?_견적대비표-하드웨어_지장전주이설_국립암센터-두산_1. 가실행예산(0629 도면기준)_4.일신통신 가실행예산(재견적合)" xfId="156" xr:uid="{00000000-0005-0000-0000-00008C000000}"/>
    <cellStyle name="?_견적대비표-하드웨어_지장전주이설_국립암센터-두산_1. 가실행예산(0629 도면기준)_을" xfId="157" xr:uid="{00000000-0005-0000-0000-00008D000000}"/>
    <cellStyle name="?_견적대비표-하드웨어_지장전주이설_국립암센터-두산_1.본실행 - 조정(안)" xfId="158" xr:uid="{00000000-0005-0000-0000-00008E000000}"/>
    <cellStyle name="?_견적대비표-하드웨어_지장전주이설_국립암센터-두산_1.본실행 - 조정(안)_4.일신통신 가실행예산(재견적合)" xfId="159" xr:uid="{00000000-0005-0000-0000-00008F000000}"/>
    <cellStyle name="?_견적대비표-하드웨어_지장전주이설_국립암센터-두산_1.본실행 - 조정(안)_을" xfId="160" xr:uid="{00000000-0005-0000-0000-000090000000}"/>
    <cellStyle name="?_견적대비표-하드웨어_지장전주이설_국립암센터-두산_4.일신통신 가실행예산(재견적合)" xfId="161" xr:uid="{00000000-0005-0000-0000-000091000000}"/>
    <cellStyle name="?_견적대비표-하드웨어_지장전주이설_국립암센터-두산_을" xfId="162" xr:uid="{00000000-0005-0000-0000-000092000000}"/>
    <cellStyle name="?_견적대비표-하드웨어_지장전주이설_국립암센터-두산_총괄 내역서" xfId="163" xr:uid="{00000000-0005-0000-0000-000093000000}"/>
    <cellStyle name="?_견적대비표-하드웨어_지장전주이설_국립암센터-두산_총괄 내역서_4.일신통신 가실행예산(재견적合)" xfId="164" xr:uid="{00000000-0005-0000-0000-000094000000}"/>
    <cellStyle name="?_견적대비표-하드웨어_지장전주이설_국립암센터-두산_총괄 내역서_을" xfId="165" xr:uid="{00000000-0005-0000-0000-000095000000}"/>
    <cellStyle name="?_견적대비표-하드웨어_지장전주이설_을" xfId="166" xr:uid="{00000000-0005-0000-0000-000096000000}"/>
    <cellStyle name="?_견적대비표-하드웨어_지장전주이설_총괄 내역서" xfId="167" xr:uid="{00000000-0005-0000-0000-000097000000}"/>
    <cellStyle name="?_견적대비표-하드웨어_지장전주이설_총괄 내역서_4.일신통신 가실행예산(재견적合)" xfId="168" xr:uid="{00000000-0005-0000-0000-000098000000}"/>
    <cellStyle name="?_견적대비표-하드웨어_지장전주이설_총괄 내역서_을" xfId="169" xr:uid="{00000000-0005-0000-0000-000099000000}"/>
    <cellStyle name="?_견적대비표-하드웨어_총괄 내역서" xfId="170" xr:uid="{00000000-0005-0000-0000-00009A000000}"/>
    <cellStyle name="?_견적대비표-하드웨어_총괄 내역서_4.일신통신 가실행예산(재견적合)" xfId="171" xr:uid="{00000000-0005-0000-0000-00009B000000}"/>
    <cellStyle name="?_견적대비표-하드웨어_총괄 내역서_을" xfId="172" xr:uid="{00000000-0005-0000-0000-00009C000000}"/>
    <cellStyle name="?_실행현장검토안(20010412)" xfId="173" xr:uid="{00000000-0005-0000-0000-00009D000000}"/>
    <cellStyle name="?_실행현장검토안(20010412)_1. 가실행예산(0629 도면기준)" xfId="174" xr:uid="{00000000-0005-0000-0000-00009E000000}"/>
    <cellStyle name="?_실행현장검토안(20010412)_1. 가실행예산(0629 도면기준)_4.일신통신 가실행예산(재견적合)" xfId="175" xr:uid="{00000000-0005-0000-0000-00009F000000}"/>
    <cellStyle name="?_실행현장검토안(20010412)_1. 가실행예산(0629 도면기준)_을" xfId="176" xr:uid="{00000000-0005-0000-0000-0000A0000000}"/>
    <cellStyle name="?_실행현장검토안(20010412)_1.본실행 - 조정(안)" xfId="177" xr:uid="{00000000-0005-0000-0000-0000A1000000}"/>
    <cellStyle name="?_실행현장검토안(20010412)_1.본실행 - 조정(안)_4.일신통신 가실행예산(재견적合)" xfId="178" xr:uid="{00000000-0005-0000-0000-0000A2000000}"/>
    <cellStyle name="?_실행현장검토안(20010412)_1.본실행 - 조정(안)_을" xfId="179" xr:uid="{00000000-0005-0000-0000-0000A3000000}"/>
    <cellStyle name="?_실행현장검토안(20010412)_4.일신통신 가실행예산(재견적合)" xfId="180" xr:uid="{00000000-0005-0000-0000-0000A4000000}"/>
    <cellStyle name="?_실행현장검토안(20010412)_국립암센터-두산" xfId="181" xr:uid="{00000000-0005-0000-0000-0000A5000000}"/>
    <cellStyle name="?_실행현장검토안(20010412)_국립암센터-두산_1. 가실행예산(0629 도면기준)" xfId="182" xr:uid="{00000000-0005-0000-0000-0000A6000000}"/>
    <cellStyle name="?_실행현장검토안(20010412)_국립암센터-두산_1. 가실행예산(0629 도면기준)_4.일신통신 가실행예산(재견적合)" xfId="183" xr:uid="{00000000-0005-0000-0000-0000A7000000}"/>
    <cellStyle name="?_실행현장검토안(20010412)_국립암센터-두산_1. 가실행예산(0629 도면기준)_을" xfId="184" xr:uid="{00000000-0005-0000-0000-0000A8000000}"/>
    <cellStyle name="?_실행현장검토안(20010412)_국립암센터-두산_1.본실행 - 조정(안)" xfId="185" xr:uid="{00000000-0005-0000-0000-0000A9000000}"/>
    <cellStyle name="?_실행현장검토안(20010412)_국립암센터-두산_1.본실행 - 조정(안)_4.일신통신 가실행예산(재견적合)" xfId="186" xr:uid="{00000000-0005-0000-0000-0000AA000000}"/>
    <cellStyle name="?_실행현장검토안(20010412)_국립암센터-두산_1.본실행 - 조정(안)_을" xfId="187" xr:uid="{00000000-0005-0000-0000-0000AB000000}"/>
    <cellStyle name="?_실행현장검토안(20010412)_국립암센터-두산_4.일신통신 가실행예산(재견적合)" xfId="188" xr:uid="{00000000-0005-0000-0000-0000AC000000}"/>
    <cellStyle name="?_실행현장검토안(20010412)_국립암센터-두산_을" xfId="189" xr:uid="{00000000-0005-0000-0000-0000AD000000}"/>
    <cellStyle name="?_실행현장검토안(20010412)_국립암센터-두산_총괄 내역서" xfId="190" xr:uid="{00000000-0005-0000-0000-0000AE000000}"/>
    <cellStyle name="?_실행현장검토안(20010412)_국립암센터-두산_총괄 내역서_4.일신통신 가실행예산(재견적合)" xfId="191" xr:uid="{00000000-0005-0000-0000-0000AF000000}"/>
    <cellStyle name="?_실행현장검토안(20010412)_국립암센터-두산_총괄 내역서_을" xfId="192" xr:uid="{00000000-0005-0000-0000-0000B0000000}"/>
    <cellStyle name="?_실행현장검토안(20010412)_미지급품의서" xfId="193" xr:uid="{00000000-0005-0000-0000-0000B1000000}"/>
    <cellStyle name="?_실행현장검토안(20010412)_미지급품의서_1. 가실행예산(0629 도면기준)" xfId="194" xr:uid="{00000000-0005-0000-0000-0000B2000000}"/>
    <cellStyle name="?_실행현장검토안(20010412)_미지급품의서_1. 가실행예산(0629 도면기준)_4.일신통신 가실행예산(재견적合)" xfId="195" xr:uid="{00000000-0005-0000-0000-0000B3000000}"/>
    <cellStyle name="?_실행현장검토안(20010412)_미지급품의서_1. 가실행예산(0629 도면기준)_을" xfId="196" xr:uid="{00000000-0005-0000-0000-0000B4000000}"/>
    <cellStyle name="?_실행현장검토안(20010412)_미지급품의서_1.본실행 - 조정(안)" xfId="197" xr:uid="{00000000-0005-0000-0000-0000B5000000}"/>
    <cellStyle name="?_실행현장검토안(20010412)_미지급품의서_1.본실행 - 조정(안)_4.일신통신 가실행예산(재견적合)" xfId="198" xr:uid="{00000000-0005-0000-0000-0000B6000000}"/>
    <cellStyle name="?_실행현장검토안(20010412)_미지급품의서_1.본실행 - 조정(안)_을" xfId="199" xr:uid="{00000000-0005-0000-0000-0000B7000000}"/>
    <cellStyle name="?_실행현장검토안(20010412)_미지급품의서_4.일신통신 가실행예산(재견적合)" xfId="200" xr:uid="{00000000-0005-0000-0000-0000B8000000}"/>
    <cellStyle name="?_실행현장검토안(20010412)_미지급품의서_국립암센터-두산" xfId="201" xr:uid="{00000000-0005-0000-0000-0000B9000000}"/>
    <cellStyle name="?_실행현장검토안(20010412)_미지급품의서_국립암센터-두산_1. 가실행예산(0629 도면기준)" xfId="202" xr:uid="{00000000-0005-0000-0000-0000BA000000}"/>
    <cellStyle name="?_실행현장검토안(20010412)_미지급품의서_국립암센터-두산_1. 가실행예산(0629 도면기준)_4.일신통신 가실행예산(재견적合)" xfId="203" xr:uid="{00000000-0005-0000-0000-0000BB000000}"/>
    <cellStyle name="?_실행현장검토안(20010412)_미지급품의서_국립암센터-두산_1. 가실행예산(0629 도면기준)_을" xfId="204" xr:uid="{00000000-0005-0000-0000-0000BC000000}"/>
    <cellStyle name="?_실행현장검토안(20010412)_미지급품의서_국립암센터-두산_1.본실행 - 조정(안)" xfId="205" xr:uid="{00000000-0005-0000-0000-0000BD000000}"/>
    <cellStyle name="?_실행현장검토안(20010412)_미지급품의서_국립암센터-두산_1.본실행 - 조정(안)_4.일신통신 가실행예산(재견적合)" xfId="206" xr:uid="{00000000-0005-0000-0000-0000BE000000}"/>
    <cellStyle name="?_실행현장검토안(20010412)_미지급품의서_국립암센터-두산_1.본실행 - 조정(안)_을" xfId="207" xr:uid="{00000000-0005-0000-0000-0000BF000000}"/>
    <cellStyle name="?_실행현장검토안(20010412)_미지급품의서_국립암센터-두산_4.일신통신 가실행예산(재견적合)" xfId="208" xr:uid="{00000000-0005-0000-0000-0000C0000000}"/>
    <cellStyle name="?_실행현장검토안(20010412)_미지급품의서_국립암센터-두산_을" xfId="209" xr:uid="{00000000-0005-0000-0000-0000C1000000}"/>
    <cellStyle name="?_실행현장검토안(20010412)_미지급품의서_국립암센터-두산_총괄 내역서" xfId="210" xr:uid="{00000000-0005-0000-0000-0000C2000000}"/>
    <cellStyle name="?_실행현장검토안(20010412)_미지급품의서_국립암센터-두산_총괄 내역서_4.일신통신 가실행예산(재견적合)" xfId="211" xr:uid="{00000000-0005-0000-0000-0000C3000000}"/>
    <cellStyle name="?_실행현장검토안(20010412)_미지급품의서_국립암센터-두산_총괄 내역서_을" xfId="212" xr:uid="{00000000-0005-0000-0000-0000C4000000}"/>
    <cellStyle name="?_실행현장검토안(20010412)_미지급품의서_을" xfId="213" xr:uid="{00000000-0005-0000-0000-0000C5000000}"/>
    <cellStyle name="?_실행현장검토안(20010412)_미지급품의서_총괄 내역서" xfId="214" xr:uid="{00000000-0005-0000-0000-0000C6000000}"/>
    <cellStyle name="?_실행현장검토안(20010412)_미지급품의서_총괄 내역서_4.일신통신 가실행예산(재견적合)" xfId="215" xr:uid="{00000000-0005-0000-0000-0000C7000000}"/>
    <cellStyle name="?_실행현장검토안(20010412)_미지급품의서_총괄 내역서_을" xfId="216" xr:uid="{00000000-0005-0000-0000-0000C8000000}"/>
    <cellStyle name="?_실행현장검토안(20010412)_을" xfId="217" xr:uid="{00000000-0005-0000-0000-0000C9000000}"/>
    <cellStyle name="?_실행현장검토안(20010412)_지장전주이설" xfId="218" xr:uid="{00000000-0005-0000-0000-0000CA000000}"/>
    <cellStyle name="?_실행현장검토안(20010412)_지장전주이설_1. 가실행예산(0629 도면기준)" xfId="219" xr:uid="{00000000-0005-0000-0000-0000CB000000}"/>
    <cellStyle name="?_실행현장검토안(20010412)_지장전주이설_1. 가실행예산(0629 도면기준)_4.일신통신 가실행예산(재견적合)" xfId="220" xr:uid="{00000000-0005-0000-0000-0000CC000000}"/>
    <cellStyle name="?_실행현장검토안(20010412)_지장전주이설_1. 가실행예산(0629 도면기준)_을" xfId="221" xr:uid="{00000000-0005-0000-0000-0000CD000000}"/>
    <cellStyle name="?_실행현장검토안(20010412)_지장전주이설_1.본실행 - 조정(안)" xfId="222" xr:uid="{00000000-0005-0000-0000-0000CE000000}"/>
    <cellStyle name="?_실행현장검토안(20010412)_지장전주이설_1.본실행 - 조정(안)_4.일신통신 가실행예산(재견적合)" xfId="223" xr:uid="{00000000-0005-0000-0000-0000CF000000}"/>
    <cellStyle name="?_실행현장검토안(20010412)_지장전주이설_1.본실행 - 조정(안)_을" xfId="224" xr:uid="{00000000-0005-0000-0000-0000D0000000}"/>
    <cellStyle name="?_실행현장검토안(20010412)_지장전주이설_4.일신통신 가실행예산(재견적合)" xfId="225" xr:uid="{00000000-0005-0000-0000-0000D1000000}"/>
    <cellStyle name="?_실행현장검토안(20010412)_지장전주이설_국립암센터-두산" xfId="226" xr:uid="{00000000-0005-0000-0000-0000D2000000}"/>
    <cellStyle name="?_실행현장검토안(20010412)_지장전주이설_국립암센터-두산_1. 가실행예산(0629 도면기준)" xfId="227" xr:uid="{00000000-0005-0000-0000-0000D3000000}"/>
    <cellStyle name="?_실행현장검토안(20010412)_지장전주이설_국립암센터-두산_1. 가실행예산(0629 도면기준)_4.일신통신 가실행예산(재견적合)" xfId="228" xr:uid="{00000000-0005-0000-0000-0000D4000000}"/>
    <cellStyle name="?_실행현장검토안(20010412)_지장전주이설_국립암센터-두산_1. 가실행예산(0629 도면기준)_을" xfId="229" xr:uid="{00000000-0005-0000-0000-0000D5000000}"/>
    <cellStyle name="?_실행현장검토안(20010412)_지장전주이설_국립암센터-두산_1.본실행 - 조정(안)" xfId="230" xr:uid="{00000000-0005-0000-0000-0000D6000000}"/>
    <cellStyle name="?_실행현장검토안(20010412)_지장전주이설_국립암센터-두산_1.본실행 - 조정(안)_4.일신통신 가실행예산(재견적合)" xfId="231" xr:uid="{00000000-0005-0000-0000-0000D7000000}"/>
    <cellStyle name="?_실행현장검토안(20010412)_지장전주이설_국립암센터-두산_1.본실행 - 조정(안)_을" xfId="232" xr:uid="{00000000-0005-0000-0000-0000D8000000}"/>
    <cellStyle name="?_실행현장검토안(20010412)_지장전주이설_국립암센터-두산_4.일신통신 가실행예산(재견적合)" xfId="233" xr:uid="{00000000-0005-0000-0000-0000D9000000}"/>
    <cellStyle name="?_실행현장검토안(20010412)_지장전주이설_국립암센터-두산_을" xfId="234" xr:uid="{00000000-0005-0000-0000-0000DA000000}"/>
    <cellStyle name="?_실행현장검토안(20010412)_지장전주이설_국립암센터-두산_총괄 내역서" xfId="235" xr:uid="{00000000-0005-0000-0000-0000DB000000}"/>
    <cellStyle name="?_실행현장검토안(20010412)_지장전주이설_국립암센터-두산_총괄 내역서_4.일신통신 가실행예산(재견적合)" xfId="236" xr:uid="{00000000-0005-0000-0000-0000DC000000}"/>
    <cellStyle name="?_실행현장검토안(20010412)_지장전주이설_국립암센터-두산_총괄 내역서_을" xfId="237" xr:uid="{00000000-0005-0000-0000-0000DD000000}"/>
    <cellStyle name="?_실행현장검토안(20010412)_지장전주이설_을" xfId="238" xr:uid="{00000000-0005-0000-0000-0000DE000000}"/>
    <cellStyle name="?_실행현장검토안(20010412)_지장전주이설_총괄 내역서" xfId="239" xr:uid="{00000000-0005-0000-0000-0000DF000000}"/>
    <cellStyle name="?_실행현장검토안(20010412)_지장전주이설_총괄 내역서_4.일신통신 가실행예산(재견적合)" xfId="240" xr:uid="{00000000-0005-0000-0000-0000E0000000}"/>
    <cellStyle name="?_실행현장검토안(20010412)_지장전주이설_총괄 내역서_을" xfId="241" xr:uid="{00000000-0005-0000-0000-0000E1000000}"/>
    <cellStyle name="?_실행현장검토안(20010412)_총괄 내역서" xfId="242" xr:uid="{00000000-0005-0000-0000-0000E2000000}"/>
    <cellStyle name="?_실행현장검토안(20010412)_총괄 내역서_4.일신통신 가실행예산(재견적合)" xfId="243" xr:uid="{00000000-0005-0000-0000-0000E3000000}"/>
    <cellStyle name="?_실행현장검토안(20010412)_총괄 내역서_을" xfId="244" xr:uid="{00000000-0005-0000-0000-0000E4000000}"/>
    <cellStyle name="?ðC%U?&amp;H?_x0008_?s_x000a__x0007__x0001__x0001_" xfId="245" xr:uid="{00000000-0005-0000-0000-0000E5000000}"/>
    <cellStyle name="?Þ¸¶ [0]_¸???" xfId="246" xr:uid="{00000000-0005-0000-0000-0000E6000000}"/>
    <cellStyle name="?Þ¸¶_¸???" xfId="247" xr:uid="{00000000-0005-0000-0000-0000E7000000}"/>
    <cellStyle name="?W?_laroux" xfId="248" xr:uid="{00000000-0005-0000-0000-0000E8000000}"/>
    <cellStyle name="?曹%U?&amp;H?_x0008_?s_x000a__x0007__x0001__x0001_" xfId="249" xr:uid="{00000000-0005-0000-0000-0000E9000000}"/>
    <cellStyle name="?珠??? " xfId="250" xr:uid="{00000000-0005-0000-0000-0000EA000000}"/>
    <cellStyle name="_(02.03.05) 묵동 현장관리비 실행" xfId="251" xr:uid="{00000000-0005-0000-0000-0000EB000000}"/>
    <cellStyle name="_(02.03.08) 묵동 현장관리비 실행" xfId="252" xr:uid="{00000000-0005-0000-0000-0000EC000000}"/>
    <cellStyle name="_(02.09.17)인천 삼산1지구 2블럭 주공아파트" xfId="253" xr:uid="{00000000-0005-0000-0000-0000ED000000}"/>
    <cellStyle name="_(02.09.23  64,000평)인천 삼산1지구 2블럭 " xfId="254" xr:uid="{00000000-0005-0000-0000-0000EE000000}"/>
    <cellStyle name="_(07.31 최종확정)묵동 실행예산" xfId="255" xr:uid="{00000000-0005-0000-0000-0000EF000000}"/>
    <cellStyle name="_(09.05)인천원당 공통가설공사" xfId="256" xr:uid="{00000000-0005-0000-0000-0000F0000000}"/>
    <cellStyle name="_(주)태영 용인기흥아파트전기공내역서" xfId="257" xr:uid="{00000000-0005-0000-0000-0000F1000000}"/>
    <cellStyle name="_★용평빌라신축공사(인테리어견적 11(1).17)" xfId="258" xr:uid="{00000000-0005-0000-0000-0000F2000000}"/>
    <cellStyle name="_0.MOU(03년-06년)-수정안2-국공송부" xfId="259" xr:uid="{00000000-0005-0000-0000-0000F3000000}"/>
    <cellStyle name="_001-인원및일반관리비" xfId="260" xr:uid="{00000000-0005-0000-0000-0000F4000000}"/>
    <cellStyle name="_01.본실행" xfId="261" xr:uid="{00000000-0005-0000-0000-0000F5000000}"/>
    <cellStyle name="_0106-06-007 금속 및 수장공사 단가견적- 대림" xfId="262" xr:uid="{00000000-0005-0000-0000-0000F6000000}"/>
    <cellStyle name="_01-1.본실행.간접비" xfId="263" xr:uid="{00000000-0005-0000-0000-0000F7000000}"/>
    <cellStyle name="_01-건축공사" xfId="264" xr:uid="{00000000-0005-0000-0000-0000F8000000}"/>
    <cellStyle name="_02-도급공사비내역" xfId="265" xr:uid="{00000000-0005-0000-0000-0000F9000000}"/>
    <cellStyle name="_0313-삼성생명견적서 FC BRANCH(e)" xfId="266" xr:uid="{00000000-0005-0000-0000-0000FA000000}"/>
    <cellStyle name="_04 건축-인테리어(주거)공내역" xfId="267" xr:uid="{00000000-0005-0000-0000-0000FB000000}"/>
    <cellStyle name="_0429-삼성화재일산사옥수장공사(rami)" xfId="268" xr:uid="{00000000-0005-0000-0000-0000FC000000}"/>
    <cellStyle name="_05 건축-인테리어(상업)공내역" xfId="269" xr:uid="{00000000-0005-0000-0000-0000FD000000}"/>
    <cellStyle name="_050728 IBM Lounge Renovation Work" xfId="270" xr:uid="{00000000-0005-0000-0000-0000FE000000}"/>
    <cellStyle name="_050805 스파피스-입찰내역서" xfId="271" xr:uid="{00000000-0005-0000-0000-0000FF000000}"/>
    <cellStyle name="_0514회의확정자료" xfId="272" xr:uid="{00000000-0005-0000-0000-000000010000}"/>
    <cellStyle name="_0518-온양 반도체 기숙사동 신축공사_회신" xfId="273" xr:uid="{00000000-0005-0000-0000-000001010000}"/>
    <cellStyle name="_0527-삼성에버랜드 대회의실 확장공사(국보)" xfId="274" xr:uid="{00000000-0005-0000-0000-000002010000}"/>
    <cellStyle name="_0605뉴월드호텔 객실공사(11.12.14F)" xfId="275" xr:uid="{00000000-0005-0000-0000-000003010000}"/>
    <cellStyle name="_0723-화곡동 낙천대 APT 개보수공사" xfId="276" xr:uid="{00000000-0005-0000-0000-000004010000}"/>
    <cellStyle name="_0809 중점관리" xfId="277" xr:uid="{00000000-0005-0000-0000-000005010000}"/>
    <cellStyle name="_0827" xfId="278" xr:uid="{00000000-0005-0000-0000-000006010000}"/>
    <cellStyle name="_08-가실행내역" xfId="279" xr:uid="{00000000-0005-0000-0000-000007010000}"/>
    <cellStyle name="_0901작업1-금액분리" xfId="280" xr:uid="{00000000-0005-0000-0000-000008010000}"/>
    <cellStyle name="_1" xfId="281" xr:uid="{00000000-0005-0000-0000-000009010000}"/>
    <cellStyle name="_1. 삼성동 실행 030225(조적추가)" xfId="282" xr:uid="{00000000-0005-0000-0000-00000A010000}"/>
    <cellStyle name="_1. 삼성동 실행(030329)" xfId="283" xr:uid="{00000000-0005-0000-0000-00000B010000}"/>
    <cellStyle name="_1. 송도신도시현장관리비전순일검토" xfId="284" xr:uid="{00000000-0005-0000-0000-00000C010000}"/>
    <cellStyle name="_10-01091(명지병원증축공사)" xfId="285" xr:uid="{00000000-0005-0000-0000-00000D010000}"/>
    <cellStyle name="_1003-복지동2층 실행" xfId="286" xr:uid="{00000000-0005-0000-0000-00000E010000}"/>
    <cellStyle name="_1010-복지동 실행1" xfId="287" xr:uid="{00000000-0005-0000-0000-00000F010000}"/>
    <cellStyle name="_1011-복지동 전체공정 내역정리한것" xfId="288" xr:uid="{00000000-0005-0000-0000-000010010000}"/>
    <cellStyle name="_1026-최종제출-견적서 설계변경 후 제출(060629 이정식추가수정)" xfId="289" xr:uid="{00000000-0005-0000-0000-000011010000}"/>
    <cellStyle name="_10-27영등포마트 리뉴얼 인테리어 공사" xfId="290" xr:uid="{00000000-0005-0000-0000-000012010000}"/>
    <cellStyle name="_1115-견적서양식(현재)" xfId="291" xr:uid="{00000000-0005-0000-0000-000013010000}"/>
    <cellStyle name="_15 TRAY &amp; DUCT설비공사" xfId="292" xr:uid="{00000000-0005-0000-0000-000014010000}"/>
    <cellStyle name="_1공구전기공사" xfId="293" xr:uid="{00000000-0005-0000-0000-000015010000}"/>
    <cellStyle name="_1전기(북제주가족호텔)" xfId="294" xr:uid="{00000000-0005-0000-0000-000016010000}"/>
    <cellStyle name="_1회기성사진" xfId="295" xr:uid="{00000000-0005-0000-0000-000017010000}"/>
    <cellStyle name="_2 cost summary" xfId="296" xr:uid="{00000000-0005-0000-0000-000018010000}"/>
    <cellStyle name="_2(1).0_(변경)3.0_공내역서(0707)" xfId="297" xr:uid="{00000000-0005-0000-0000-000019010000}"/>
    <cellStyle name="_200107실행변경" xfId="298" xr:uid="{00000000-0005-0000-0000-00001A010000}"/>
    <cellStyle name="_20010821_RUBBER TILE송부2" xfId="299" xr:uid="{00000000-0005-0000-0000-00001B010000}"/>
    <cellStyle name="_2001전북도청 실행예산" xfId="300" xr:uid="{00000000-0005-0000-0000-00001C010000}"/>
    <cellStyle name="_20040720" xfId="301" xr:uid="{00000000-0005-0000-0000-00001D010000}"/>
    <cellStyle name="_2004년수주계획" xfId="302" xr:uid="{00000000-0005-0000-0000-00001E010000}"/>
    <cellStyle name="_202_6동현설공내역(실행)" xfId="303" xr:uid="{00000000-0005-0000-0000-00001F010000}"/>
    <cellStyle name="_256014(송파아르누보계약내역)" xfId="304" xr:uid="{00000000-0005-0000-0000-000020010000}"/>
    <cellStyle name="_2차설계변경" xfId="305" xr:uid="{00000000-0005-0000-0000-000021010000}"/>
    <cellStyle name="_2차설계변경_1" xfId="306" xr:uid="{00000000-0005-0000-0000-000022010000}"/>
    <cellStyle name="_2회기성" xfId="307" xr:uid="{00000000-0005-0000-0000-000023010000}"/>
    <cellStyle name="_3. 인천간석동현장관리비전순일 분석" xfId="308" xr:uid="{00000000-0005-0000-0000-000024010000}"/>
    <cellStyle name="_3회기성" xfId="309" xr:uid="{00000000-0005-0000-0000-000025010000}"/>
    <cellStyle name="_4. 파주 변경 현장안20030128" xfId="310" xr:uid="{00000000-0005-0000-0000-000026010000}"/>
    <cellStyle name="_4.일신통신 가실행예산(재견적合)" xfId="311" xr:uid="{00000000-0005-0000-0000-000027010000}"/>
    <cellStyle name="_A" xfId="312" xr:uid="{00000000-0005-0000-0000-000028010000}"/>
    <cellStyle name="_A0509-가실행(파주)" xfId="313" xr:uid="{00000000-0005-0000-0000-000029010000}"/>
    <cellStyle name="_A-0902건축공사확정(대안포함)" xfId="314" xr:uid="{00000000-0005-0000-0000-00002A010000}"/>
    <cellStyle name="_A-0902조경공사확정(대안포함)" xfId="315" xr:uid="{00000000-0005-0000-0000-00002B010000}"/>
    <cellStyle name="_AA" xfId="316" xr:uid="{00000000-0005-0000-0000-00002C010000}"/>
    <cellStyle name="_acrovista 제출(검토)" xfId="317" xr:uid="{00000000-0005-0000-0000-00002D010000}"/>
    <cellStyle name="_AI도면견적(1.25)물량산출" xfId="318" xr:uid="{00000000-0005-0000-0000-00002E010000}"/>
    <cellStyle name="_A발주자참고내역003-전기공사" xfId="319" xr:uid="{00000000-0005-0000-0000-00002F010000}"/>
    <cellStyle name="_Bid Form for GE1(Dawon) 050912" xfId="320" xr:uid="{00000000-0005-0000-0000-000030010000}"/>
    <cellStyle name="_Book1" xfId="321" xr:uid="{00000000-0005-0000-0000-000031010000}"/>
    <cellStyle name="_Book1 2" xfId="322" xr:uid="{00000000-0005-0000-0000-000032010000}"/>
    <cellStyle name="_Book1_1" xfId="323" xr:uid="{00000000-0005-0000-0000-000033010000}"/>
    <cellStyle name="_Book1_Book1" xfId="324" xr:uid="{00000000-0005-0000-0000-000034010000}"/>
    <cellStyle name="_Book1_D MARK빌딩 쇼룸공사0731" xfId="325" xr:uid="{00000000-0005-0000-0000-000035010000}"/>
    <cellStyle name="_Book1_각종표지" xfId="326" xr:uid="{00000000-0005-0000-0000-000036010000}"/>
    <cellStyle name="_Book1_엔플루토사무실공사견적20090703-" xfId="327" xr:uid="{00000000-0005-0000-0000-000037010000}"/>
    <cellStyle name="_Book2" xfId="328" xr:uid="{00000000-0005-0000-0000-000038010000}"/>
    <cellStyle name="_Book2_실행내역서-건대스타시티-080401" xfId="329" xr:uid="{00000000-0005-0000-0000-000039010000}"/>
    <cellStyle name="_Book3" xfId="330" xr:uid="{00000000-0005-0000-0000-00003A010000}"/>
    <cellStyle name="_FCST (2)" xfId="331" xr:uid="{00000000-0005-0000-0000-00003B010000}"/>
    <cellStyle name="_KO4 CR 진동" xfId="332" xr:uid="{00000000-0005-0000-0000-00003C010000}"/>
    <cellStyle name="_KT견적요청" xfId="333" xr:uid="{00000000-0005-0000-0000-00003D010000}"/>
    <cellStyle name="_LG신봉리아파트" xfId="334" xr:uid="{00000000-0005-0000-0000-00003E010000}"/>
    <cellStyle name="_MCC및분전반" xfId="335" xr:uid="{00000000-0005-0000-0000-00003F010000}"/>
    <cellStyle name="_Merry World Plaza 개산" xfId="336" xr:uid="{00000000-0005-0000-0000-000040010000}"/>
    <cellStyle name="_NC12E1F75" xfId="337" xr:uid="{00000000-0005-0000-0000-000041010000}"/>
    <cellStyle name="_NC22E43F4" xfId="338" xr:uid="{00000000-0005-0000-0000-000042010000}"/>
    <cellStyle name="_NC2308EFD" xfId="339" xr:uid="{00000000-0005-0000-0000-000043010000}"/>
    <cellStyle name="_NC85018F" xfId="340" xr:uid="{00000000-0005-0000-0000-000044010000}"/>
    <cellStyle name="_NCA07108" xfId="341" xr:uid="{00000000-0005-0000-0000-000045010000}"/>
    <cellStyle name="_NCF3A0B2" xfId="342" xr:uid="{00000000-0005-0000-0000-000046010000}"/>
    <cellStyle name="_New Office Work 5F6F (0304)" xfId="343" xr:uid="{00000000-0005-0000-0000-000047010000}"/>
    <cellStyle name="_NEW TOWER" xfId="344" xr:uid="{00000000-0005-0000-0000-000048010000}"/>
    <cellStyle name="_PM구분안" xfId="345" xr:uid="{00000000-0005-0000-0000-000049010000}"/>
    <cellStyle name="_port" xfId="346" xr:uid="{00000000-0005-0000-0000-00004A010000}"/>
    <cellStyle name="_RESULTS" xfId="347" xr:uid="{00000000-0005-0000-0000-00004B010000}"/>
    <cellStyle name="_SK수송동 주상복합" xfId="348" xr:uid="{00000000-0005-0000-0000-00004C010000}"/>
    <cellStyle name="_SK수송동 주상복합 신축공사" xfId="349" xr:uid="{00000000-0005-0000-0000-00004D010000}"/>
    <cellStyle name="_SWISS(풍림)" xfId="350" xr:uid="{00000000-0005-0000-0000-00004E010000}"/>
    <cellStyle name="_TRAY&amp;DUCT 집계" xfId="351" xr:uid="{00000000-0005-0000-0000-00004F010000}"/>
    <cellStyle name="_UTILITY-계약B" xfId="352" xr:uid="{00000000-0005-0000-0000-000050010000}"/>
    <cellStyle name="_Wal Mart" xfId="353" xr:uid="{00000000-0005-0000-0000-000051010000}"/>
    <cellStyle name="_X" xfId="354" xr:uid="{00000000-0005-0000-0000-000052010000}"/>
    <cellStyle name="_가격산출서양식_20060623" xfId="355" xr:uid="{00000000-0005-0000-0000-000053010000}"/>
    <cellStyle name="_가구공사사진." xfId="356" xr:uid="{00000000-0005-0000-0000-000054010000}"/>
    <cellStyle name="_가산동" xfId="357" xr:uid="{00000000-0005-0000-0000-000055010000}"/>
    <cellStyle name="_가설5월분" xfId="358" xr:uid="{00000000-0005-0000-0000-000056010000}"/>
    <cellStyle name="_가실행" xfId="359" xr:uid="{00000000-0005-0000-0000-000057010000}"/>
    <cellStyle name="_가실행 최종본사분" xfId="360" xr:uid="{00000000-0005-0000-0000-000058010000}"/>
    <cellStyle name="_가실행(3th)" xfId="361" xr:uid="{00000000-0005-0000-0000-000059010000}"/>
    <cellStyle name="_가실행(대전아울렛)" xfId="362" xr:uid="{00000000-0005-0000-0000-00005A010000}"/>
    <cellStyle name="_가실행(대혜건축)" xfId="363" xr:uid="{00000000-0005-0000-0000-00005B010000}"/>
    <cellStyle name="_가실행(분리발주)" xfId="364" xr:uid="{00000000-0005-0000-0000-00005C010000}"/>
    <cellStyle name="_가실행(조선대)-최종" xfId="365" xr:uid="{00000000-0005-0000-0000-00005D010000}"/>
    <cellStyle name="_가실행내역" xfId="366" xr:uid="{00000000-0005-0000-0000-00005E010000}"/>
    <cellStyle name="_가실행내역(김해공항)" xfId="367" xr:uid="{00000000-0005-0000-0000-00005F010000}"/>
    <cellStyle name="_가실행방침서(030905)" xfId="368" xr:uid="{00000000-0005-0000-0000-000060010000}"/>
    <cellStyle name="_가실행-화물터미널B(수정)" xfId="369" xr:uid="{00000000-0005-0000-0000-000061010000}"/>
    <cellStyle name="_가실행-화물터미널B(재수정)" xfId="370" xr:uid="{00000000-0005-0000-0000-000062010000}"/>
    <cellStyle name="_가톨릭대학교병원공사산출조서1" xfId="371" xr:uid="{00000000-0005-0000-0000-000063010000}"/>
    <cellStyle name="_간석동실행" xfId="372" xr:uid="{00000000-0005-0000-0000-000064010000}"/>
    <cellStyle name="_간석동실행(확정)" xfId="373" xr:uid="{00000000-0005-0000-0000-000065010000}"/>
    <cellStyle name="_간석동현장관리비(alt3-2)1021" xfId="374" xr:uid="{00000000-0005-0000-0000-000066010000}"/>
    <cellStyle name="_간접비(01.09.28-변경내용포함)" xfId="375" xr:uid="{00000000-0005-0000-0000-000067010000}"/>
    <cellStyle name="_갑지양식" xfId="376" xr:uid="{00000000-0005-0000-0000-000068010000}"/>
    <cellStyle name="_강릉e-mart" xfId="377" xr:uid="{00000000-0005-0000-0000-000069010000}"/>
    <cellStyle name="_강북삼성병원" xfId="378" xr:uid="{00000000-0005-0000-0000-00006A010000}"/>
    <cellStyle name="_강전TRAY(산출)" xfId="379" xr:uid="{00000000-0005-0000-0000-00006B010000}"/>
    <cellStyle name="_개산견적" xfId="380" xr:uid="{00000000-0005-0000-0000-00006C010000}"/>
    <cellStyle name="_개산금액비교_부민동" xfId="381" xr:uid="{00000000-0005-0000-0000-00006D010000}"/>
    <cellStyle name="_개산대비(수영)" xfId="382" xr:uid="{00000000-0005-0000-0000-00006E010000}"/>
    <cellStyle name="_거제시 아주동1단지 아파트 신축공사" xfId="383" xr:uid="{00000000-0005-0000-0000-00006F010000}"/>
    <cellStyle name="_거흥" xfId="384" xr:uid="{00000000-0005-0000-0000-000070010000}"/>
    <cellStyle name="_건축내역" xfId="385" xr:uid="{00000000-0005-0000-0000-000071010000}"/>
    <cellStyle name="_건축내역_부대입찰(영종도)3.22last제출" xfId="386" xr:uid="{00000000-0005-0000-0000-000072010000}"/>
    <cellStyle name="_건축내역2" xfId="387" xr:uid="{00000000-0005-0000-0000-000073010000}"/>
    <cellStyle name="_건축내역서" xfId="388" xr:uid="{00000000-0005-0000-0000-000074010000}"/>
    <cellStyle name="_건축사업팀검토008-철골공사Ⅲ" xfId="389" xr:uid="{00000000-0005-0000-0000-000075010000}"/>
    <cellStyle name="_검단 실행 작성(0515)" xfId="390" xr:uid="{00000000-0005-0000-0000-000076010000}"/>
    <cellStyle name="_검단 최종(변경0623 최종)" xfId="391" xr:uid="{00000000-0005-0000-0000-000077010000}"/>
    <cellStyle name="_견적 양식" xfId="392" xr:uid="{00000000-0005-0000-0000-000078010000}"/>
    <cellStyle name="_견적3" xfId="393" xr:uid="{00000000-0005-0000-0000-000079010000}"/>
    <cellStyle name="_견적3_1. 가실행예산(0629 도면기준)" xfId="394" xr:uid="{00000000-0005-0000-0000-00007A010000}"/>
    <cellStyle name="_견적3_1. 가실행예산(0629 도면기준)_4.일신통신 가실행예산(재견적合)" xfId="395" xr:uid="{00000000-0005-0000-0000-00007B010000}"/>
    <cellStyle name="_견적3_1. 가실행예산(0629 도면기준)_을" xfId="396" xr:uid="{00000000-0005-0000-0000-00007C010000}"/>
    <cellStyle name="_견적3_1.본실행 - 조정(안)" xfId="397" xr:uid="{00000000-0005-0000-0000-00007D010000}"/>
    <cellStyle name="_견적3_1.본실행 - 조정(안)_4.일신통신 가실행예산(재견적合)" xfId="398" xr:uid="{00000000-0005-0000-0000-00007E010000}"/>
    <cellStyle name="_견적3_1.본실행 - 조정(안)_을" xfId="399" xr:uid="{00000000-0005-0000-0000-00007F010000}"/>
    <cellStyle name="_견적3_4.일신통신 가실행예산(재견적合)" xfId="400" xr:uid="{00000000-0005-0000-0000-000080010000}"/>
    <cellStyle name="_견적3_을" xfId="401" xr:uid="{00000000-0005-0000-0000-000081010000}"/>
    <cellStyle name="_견적3_총괄 내역서" xfId="402" xr:uid="{00000000-0005-0000-0000-000082010000}"/>
    <cellStyle name="_견적3_총괄 내역서_4.일신통신 가실행예산(재견적合)" xfId="403" xr:uid="{00000000-0005-0000-0000-000083010000}"/>
    <cellStyle name="_견적3_총괄 내역서_을" xfId="404" xr:uid="{00000000-0005-0000-0000-000084010000}"/>
    <cellStyle name="_견적갑" xfId="405" xr:uid="{00000000-0005-0000-0000-000085010000}"/>
    <cellStyle name="_견적기준(운송대리점)" xfId="406" xr:uid="{00000000-0005-0000-0000-000086010000}"/>
    <cellStyle name="_견적서" xfId="407" xr:uid="{00000000-0005-0000-0000-000087010000}"/>
    <cellStyle name="_견적서 양식" xfId="408" xr:uid="{00000000-0005-0000-0000-000088010000}"/>
    <cellStyle name="_견적서(정밀)" xfId="409" xr:uid="{00000000-0005-0000-0000-000089010000}"/>
    <cellStyle name="_견적서갑지양식" xfId="410" xr:uid="{00000000-0005-0000-0000-00008A010000}"/>
    <cellStyle name="_견적서양식" xfId="411" xr:uid="{00000000-0005-0000-0000-00008B010000}"/>
    <cellStyle name="_견적서양식(가로)" xfId="412" xr:uid="{00000000-0005-0000-0000-00008C010000}"/>
    <cellStyle name="_견적서양식(세로)" xfId="413" xr:uid="{00000000-0005-0000-0000-00008D010000}"/>
    <cellStyle name="_견적양식" xfId="414" xr:uid="{00000000-0005-0000-0000-00008E010000}"/>
    <cellStyle name="_견적의뢰 양식" xfId="415" xr:uid="{00000000-0005-0000-0000-00008F010000}"/>
    <cellStyle name="_견적의뢰(협력)27" xfId="416" xr:uid="{00000000-0005-0000-0000-000090010000}"/>
    <cellStyle name="_견적제출보고서(천안SDI 전지2동 증설공사2002년10월17일)" xfId="417" xr:uid="{00000000-0005-0000-0000-000091010000}"/>
    <cellStyle name="_견적조건" xfId="418" xr:uid="{00000000-0005-0000-0000-000092010000}"/>
    <cellStyle name="_결재양식(목동변경)" xfId="419" xr:uid="{00000000-0005-0000-0000-000093010000}"/>
    <cellStyle name="_결재자료양식" xfId="420" xr:uid="{00000000-0005-0000-0000-000094010000}"/>
    <cellStyle name="_결재쪽지" xfId="421" xr:uid="{00000000-0005-0000-0000-000095010000}"/>
    <cellStyle name="_결재쪽지_1. 가실행예산(0629 도면기준)" xfId="422" xr:uid="{00000000-0005-0000-0000-000096010000}"/>
    <cellStyle name="_결재쪽지_1. 가실행예산(0629 도면기준)_4.일신통신 가실행예산(재견적合)" xfId="423" xr:uid="{00000000-0005-0000-0000-000097010000}"/>
    <cellStyle name="_결재쪽지_1. 가실행예산(0629 도면기준)_을" xfId="424" xr:uid="{00000000-0005-0000-0000-000098010000}"/>
    <cellStyle name="_결재쪽지_1.본실행 - 조정(안)" xfId="425" xr:uid="{00000000-0005-0000-0000-000099010000}"/>
    <cellStyle name="_결재쪽지_1.본실행 - 조정(안)_4.일신통신 가실행예산(재견적合)" xfId="426" xr:uid="{00000000-0005-0000-0000-00009A010000}"/>
    <cellStyle name="_결재쪽지_1.본실행 - 조정(안)_을" xfId="427" xr:uid="{00000000-0005-0000-0000-00009B010000}"/>
    <cellStyle name="_결재쪽지_4.일신통신 가실행예산(재견적合)" xfId="428" xr:uid="{00000000-0005-0000-0000-00009C010000}"/>
    <cellStyle name="_결재쪽지_을" xfId="429" xr:uid="{00000000-0005-0000-0000-00009D010000}"/>
    <cellStyle name="_결재쪽지_총괄 내역서" xfId="430" xr:uid="{00000000-0005-0000-0000-00009E010000}"/>
    <cellStyle name="_결재쪽지_총괄 내역서_4.일신통신 가실행예산(재견적合)" xfId="431" xr:uid="{00000000-0005-0000-0000-00009F010000}"/>
    <cellStyle name="_결재쪽지_총괄 내역서_을" xfId="432" xr:uid="{00000000-0005-0000-0000-0000A0010000}"/>
    <cellStyle name="_결재쪽지_투찰_대둔산" xfId="433" xr:uid="{00000000-0005-0000-0000-0000A1010000}"/>
    <cellStyle name="_결재쪽지_투찰_대둔산_1. 가실행예산(0629 도면기준)" xfId="434" xr:uid="{00000000-0005-0000-0000-0000A2010000}"/>
    <cellStyle name="_결재쪽지_투찰_대둔산_1. 가실행예산(0629 도면기준)_4.일신통신 가실행예산(재견적合)" xfId="435" xr:uid="{00000000-0005-0000-0000-0000A3010000}"/>
    <cellStyle name="_결재쪽지_투찰_대둔산_1. 가실행예산(0629 도면기준)_을" xfId="436" xr:uid="{00000000-0005-0000-0000-0000A4010000}"/>
    <cellStyle name="_결재쪽지_투찰_대둔산_1.본실행 - 조정(안)" xfId="437" xr:uid="{00000000-0005-0000-0000-0000A5010000}"/>
    <cellStyle name="_결재쪽지_투찰_대둔산_1.본실행 - 조정(안)_4.일신통신 가실행예산(재견적合)" xfId="438" xr:uid="{00000000-0005-0000-0000-0000A6010000}"/>
    <cellStyle name="_결재쪽지_투찰_대둔산_1.본실행 - 조정(안)_을" xfId="439" xr:uid="{00000000-0005-0000-0000-0000A7010000}"/>
    <cellStyle name="_결재쪽지_투찰_대둔산_4.일신통신 가실행예산(재견적合)" xfId="440" xr:uid="{00000000-0005-0000-0000-0000A8010000}"/>
    <cellStyle name="_결재쪽지_투찰_대둔산_을" xfId="441" xr:uid="{00000000-0005-0000-0000-0000A9010000}"/>
    <cellStyle name="_결재쪽지_투찰_대둔산_총괄 내역서" xfId="442" xr:uid="{00000000-0005-0000-0000-0000AA010000}"/>
    <cellStyle name="_결재쪽지_투찰_대둔산_총괄 내역서_4.일신통신 가실행예산(재견적合)" xfId="443" xr:uid="{00000000-0005-0000-0000-0000AB010000}"/>
    <cellStyle name="_결재쪽지_투찰_대둔산_총괄 내역서_을" xfId="444" xr:uid="{00000000-0005-0000-0000-0000AC010000}"/>
    <cellStyle name="_결정01-총괄가실행(0820)" xfId="445" xr:uid="{00000000-0005-0000-0000-0000AD010000}"/>
    <cellStyle name="_경기도 대심리 주택" xfId="446" xr:uid="{00000000-0005-0000-0000-0000AE010000}"/>
    <cellStyle name="_경량" xfId="447" xr:uid="{00000000-0005-0000-0000-0000AF010000}"/>
    <cellStyle name="_경량공사1" xfId="448" xr:uid="{00000000-0005-0000-0000-0000B0010000}"/>
    <cellStyle name="_경량공사사진" xfId="449" xr:uid="{00000000-0005-0000-0000-0000B1010000}"/>
    <cellStyle name="_경량물량산출" xfId="450" xr:uid="{00000000-0005-0000-0000-0000B2010000}"/>
    <cellStyle name="_경량물량산출(발송)" xfId="451" xr:uid="{00000000-0005-0000-0000-0000B3010000}"/>
    <cellStyle name="_경원(11월1일제출)본내역최종" xfId="452" xr:uid="{00000000-0005-0000-0000-0000B4010000}"/>
    <cellStyle name="_경원최종 (본내역)" xfId="453" xr:uid="{00000000-0005-0000-0000-0000B5010000}"/>
    <cellStyle name="_경희의료원실행" xfId="454" xr:uid="{00000000-0005-0000-0000-0000B6010000}"/>
    <cellStyle name="_계룡두계모델내역(실행)050715" xfId="455" xr:uid="{00000000-0005-0000-0000-0000B7010000}"/>
    <cellStyle name="_계약검토(금왕하수처리장)" xfId="456" xr:uid="{00000000-0005-0000-0000-0000B8010000}"/>
    <cellStyle name="_계약검토양식" xfId="457" xr:uid="{00000000-0005-0000-0000-0000B9010000}"/>
    <cellStyle name="_계약내역서(1)" xfId="458" xr:uid="{00000000-0005-0000-0000-0000BA010000}"/>
    <cellStyle name="_계약-전기" xfId="459" xr:uid="{00000000-0005-0000-0000-0000BB010000}"/>
    <cellStyle name="_계장(SK)" xfId="460" xr:uid="{00000000-0005-0000-0000-0000BC010000}"/>
    <cellStyle name="_고려-수원미네시티(작업)" xfId="461" xr:uid="{00000000-0005-0000-0000-0000BD010000}"/>
    <cellStyle name="_공내역서(송파트리플)" xfId="462" xr:uid="{00000000-0005-0000-0000-0000BE010000}"/>
    <cellStyle name="_공문및작성양식최종" xfId="463" xr:uid="{00000000-0005-0000-0000-0000BF010000}"/>
    <cellStyle name="_공사개요(2003) " xfId="464" xr:uid="{00000000-0005-0000-0000-0000C0010000}"/>
    <cellStyle name="_공사개요(건축사업팀03.09.02)" xfId="465" xr:uid="{00000000-0005-0000-0000-0000C1010000}"/>
    <cellStyle name="_공사정산서 (최종)" xfId="466" xr:uid="{00000000-0005-0000-0000-0000C2010000}"/>
    <cellStyle name="_공양식" xfId="467" xr:uid="{00000000-0005-0000-0000-0000C3010000}"/>
    <cellStyle name="_공종별 도급금액" xfId="468" xr:uid="{00000000-0005-0000-0000-0000C4010000}"/>
    <cellStyle name="_공종분개작업" xfId="469" xr:uid="{00000000-0005-0000-0000-0000C5010000}"/>
    <cellStyle name="_관로내역0718" xfId="470" xr:uid="{00000000-0005-0000-0000-0000C6010000}"/>
    <cellStyle name="_관리비" xfId="471" xr:uid="{00000000-0005-0000-0000-0000C7010000}"/>
    <cellStyle name="_광메카실행내역1106" xfId="472" xr:uid="{00000000-0005-0000-0000-0000C8010000}"/>
    <cellStyle name="_광메카종료" xfId="473" xr:uid="{00000000-0005-0000-0000-0000C9010000}"/>
    <cellStyle name="_광주+속초내역(듀엘견적)" xfId="474" xr:uid="{00000000-0005-0000-0000-0000CA010000}"/>
    <cellStyle name="_광주비행장 - Air" xfId="475" xr:uid="{00000000-0005-0000-0000-0000CB010000}"/>
    <cellStyle name="_광주비행장 - Air_견적서양식" xfId="476" xr:uid="{00000000-0005-0000-0000-0000CC010000}"/>
    <cellStyle name="_광주비행장 - Air_노원문화회관전기" xfId="477" xr:uid="{00000000-0005-0000-0000-0000CD010000}"/>
    <cellStyle name="_광주비행장 - Air_노원문화회관전기_견적서양식" xfId="478" xr:uid="{00000000-0005-0000-0000-0000CE010000}"/>
    <cellStyle name="_광주비행장 - Air_노원문화회관전기_소사안양도시가스견적단가" xfId="479" xr:uid="{00000000-0005-0000-0000-0000CF010000}"/>
    <cellStyle name="_광주비행장 - Air_노원문화회관전기_소사안양도시가스견적단가_견적서양식" xfId="480" xr:uid="{00000000-0005-0000-0000-0000D0010000}"/>
    <cellStyle name="_광주비행장 - Air_노원문화회관전기_안양소사자동제어단가" xfId="481" xr:uid="{00000000-0005-0000-0000-0000D1010000}"/>
    <cellStyle name="_광주비행장 - Air_노원문화회관전기_안양소사자동제어단가_견적서양식" xfId="482" xr:uid="{00000000-0005-0000-0000-0000D2010000}"/>
    <cellStyle name="_광주비행장 - Air_소사안양도시가스견적단가" xfId="483" xr:uid="{00000000-0005-0000-0000-0000D3010000}"/>
    <cellStyle name="_광주비행장 - Air_소사안양도시가스견적단가_견적서양식" xfId="484" xr:uid="{00000000-0005-0000-0000-0000D4010000}"/>
    <cellStyle name="_광주비행장 - Air_안양소사자동제어단가" xfId="485" xr:uid="{00000000-0005-0000-0000-0000D5010000}"/>
    <cellStyle name="_광주비행장 - Air_안양소사자동제어단가_견적서양식" xfId="486" xr:uid="{00000000-0005-0000-0000-0000D6010000}"/>
    <cellStyle name="_광주퇴촌면주택" xfId="487" xr:uid="{00000000-0005-0000-0000-0000D7010000}"/>
    <cellStyle name="_광주평동실행" xfId="488" xr:uid="{00000000-0005-0000-0000-0000D8010000}"/>
    <cellStyle name="_광주평동실행_구기동(제출)(95.0)(031121)" xfId="489" xr:uid="{00000000-0005-0000-0000-0000D9010000}"/>
    <cellStyle name="_광주평동실행_구기동레포츠센타제출" xfId="490" xr:uid="{00000000-0005-0000-0000-0000DA010000}"/>
    <cellStyle name="_광주평동실행_번암견적의뢰(협력)" xfId="491" xr:uid="{00000000-0005-0000-0000-0000DB010000}"/>
    <cellStyle name="_광주평동실행_번암견적의뢰(협력)_구기동(제출)(95.0)(031121)" xfId="492" xr:uid="{00000000-0005-0000-0000-0000DC010000}"/>
    <cellStyle name="_광주평동실행_번암견적의뢰(협력)_구기동레포츠센타제출" xfId="493" xr:uid="{00000000-0005-0000-0000-0000DD010000}"/>
    <cellStyle name="_광주평동실행_번암견적의뢰(협력)_신천동주상복합신축공사" xfId="494" xr:uid="{00000000-0005-0000-0000-0000DE010000}"/>
    <cellStyle name="_광주평동실행_번암견적의뢰(협력)_용답동오피스텔가실행" xfId="495" xr:uid="{00000000-0005-0000-0000-0000DF010000}"/>
    <cellStyle name="_광주평동실행_신천동주상복합신축공사" xfId="496" xr:uid="{00000000-0005-0000-0000-0000E0010000}"/>
    <cellStyle name="_광주평동실행_용답동오피스텔가실행" xfId="497" xr:uid="{00000000-0005-0000-0000-0000E1010000}"/>
    <cellStyle name="_광주평동품의1" xfId="498" xr:uid="{00000000-0005-0000-0000-0000E2010000}"/>
    <cellStyle name="_광주평동품의1_구기동(제출)(95.0)(031121)" xfId="499" xr:uid="{00000000-0005-0000-0000-0000E3010000}"/>
    <cellStyle name="_광주평동품의1_구기동레포츠센타제출" xfId="500" xr:uid="{00000000-0005-0000-0000-0000E4010000}"/>
    <cellStyle name="_광주평동품의1_무안-광주2공구(협력)수정" xfId="501" xr:uid="{00000000-0005-0000-0000-0000E5010000}"/>
    <cellStyle name="_광주평동품의1_무안-광주2공구(협력)수정_구기동(제출)(95.0)(031121)" xfId="502" xr:uid="{00000000-0005-0000-0000-0000E6010000}"/>
    <cellStyle name="_광주평동품의1_무안-광주2공구(협력)수정_구기동레포츠센타제출" xfId="503" xr:uid="{00000000-0005-0000-0000-0000E7010000}"/>
    <cellStyle name="_광주평동품의1_무안-광주2공구(협력)수정_신천동주상복합신축공사" xfId="504" xr:uid="{00000000-0005-0000-0000-0000E8010000}"/>
    <cellStyle name="_광주평동품의1_무안-광주2공구(협력)수정_용답동오피스텔가실행" xfId="505" xr:uid="{00000000-0005-0000-0000-0000E9010000}"/>
    <cellStyle name="_광주평동품의1_번암견적의뢰(협력)" xfId="506" xr:uid="{00000000-0005-0000-0000-0000EA010000}"/>
    <cellStyle name="_광주평동품의1_번암견적의뢰(협력)_구기동(제출)(95.0)(031121)" xfId="507" xr:uid="{00000000-0005-0000-0000-0000EB010000}"/>
    <cellStyle name="_광주평동품의1_번암견적의뢰(협력)_구기동레포츠센타제출" xfId="508" xr:uid="{00000000-0005-0000-0000-0000EC010000}"/>
    <cellStyle name="_광주평동품의1_번암견적의뢰(협력)_신천동주상복합신축공사" xfId="509" xr:uid="{00000000-0005-0000-0000-0000ED010000}"/>
    <cellStyle name="_광주평동품의1_번암견적의뢰(협력)_용답동오피스텔가실행" xfId="510" xr:uid="{00000000-0005-0000-0000-0000EE010000}"/>
    <cellStyle name="_광주평동품의1_신천동주상복합신축공사" xfId="511" xr:uid="{00000000-0005-0000-0000-0000EF010000}"/>
    <cellStyle name="_광주평동품의1_용답동오피스텔가실행" xfId="512" xr:uid="{00000000-0005-0000-0000-0000F0010000}"/>
    <cellStyle name="_광주평동품의1_적상무주IC도로(1공구)" xfId="513" xr:uid="{00000000-0005-0000-0000-0000F1010000}"/>
    <cellStyle name="_광주평동품의1_적상무주IC도로(1공구)_구기동(제출)(95.0)(031121)" xfId="514" xr:uid="{00000000-0005-0000-0000-0000F2010000}"/>
    <cellStyle name="_광주평동품의1_적상무주IC도로(1공구)_구기동레포츠센타제출" xfId="515" xr:uid="{00000000-0005-0000-0000-0000F3010000}"/>
    <cellStyle name="_광주평동품의1_적상무주IC도로(1공구)_신천동주상복합신축공사" xfId="516" xr:uid="{00000000-0005-0000-0000-0000F4010000}"/>
    <cellStyle name="_광주평동품의1_적상무주IC도로(1공구)_용답동오피스텔가실행" xfId="517" xr:uid="{00000000-0005-0000-0000-0000F5010000}"/>
    <cellStyle name="_교보생명 서초사옥" xfId="518" xr:uid="{00000000-0005-0000-0000-0000F6010000}"/>
    <cellStyle name="_교원그룹 낙산 숙박시설 신축공사" xfId="519" xr:uid="{00000000-0005-0000-0000-0000F7010000}"/>
    <cellStyle name="_구미무선기기동증축공사" xfId="520" xr:uid="{00000000-0005-0000-0000-0000F8010000}"/>
    <cellStyle name="_구미하수처리장" xfId="521" xr:uid="{00000000-0005-0000-0000-0000F9010000}"/>
    <cellStyle name="_구월동오피스텔(이토협의)의 백업" xfId="522" xr:uid="{00000000-0005-0000-0000-0000FA010000}"/>
    <cellStyle name="_구포문화회관전기" xfId="523" xr:uid="{00000000-0005-0000-0000-0000FB010000}"/>
    <cellStyle name="_국도42호선여량지구오르막차로" xfId="524" xr:uid="{00000000-0005-0000-0000-0000FC010000}"/>
    <cellStyle name="_국보" xfId="525" xr:uid="{00000000-0005-0000-0000-0000FD010000}"/>
    <cellStyle name="_국보-3(2층제외)" xfId="526" xr:uid="{00000000-0005-0000-0000-0000FE010000}"/>
    <cellStyle name="_군포당동결재양" xfId="527" xr:uid="{00000000-0005-0000-0000-0000FF010000}"/>
    <cellStyle name="_극동건설 오피스 인테리어공사" xfId="528" xr:uid="{00000000-0005-0000-0000-000000020000}"/>
    <cellStyle name="_금속물량산출(공무발송)" xfId="529" xr:uid="{00000000-0005-0000-0000-000001020000}"/>
    <cellStyle name="_금속물량산출(공무발송1)" xfId="530" xr:uid="{00000000-0005-0000-0000-000002020000}"/>
    <cellStyle name="_금월봉변경가실행" xfId="531" xr:uid="{00000000-0005-0000-0000-000003020000}"/>
    <cellStyle name="_기계약대비" xfId="532" xr:uid="{00000000-0005-0000-0000-000004020000}"/>
    <cellStyle name="_기성1회" xfId="533" xr:uid="{00000000-0005-0000-0000-000005020000}"/>
    <cellStyle name="_기성내역서00월-한국SGI서대전문화회관" xfId="534" xr:uid="{00000000-0005-0000-0000-000006020000}"/>
    <cellStyle name="_기성및정산" xfId="535" xr:uid="{00000000-0005-0000-0000-000007020000}"/>
    <cellStyle name="_기성신청서" xfId="536" xr:uid="{00000000-0005-0000-0000-000008020000}"/>
    <cellStyle name="_기장하수실행1" xfId="537" xr:uid="{00000000-0005-0000-0000-000009020000}"/>
    <cellStyle name="_기장하수실행1_구기동(제출)(95.0)(031121)" xfId="538" xr:uid="{00000000-0005-0000-0000-00000A020000}"/>
    <cellStyle name="_기장하수실행1_구기동레포츠센타제출" xfId="539" xr:uid="{00000000-0005-0000-0000-00000B020000}"/>
    <cellStyle name="_기장하수실행1_번암견적의뢰(협력)" xfId="540" xr:uid="{00000000-0005-0000-0000-00000C020000}"/>
    <cellStyle name="_기장하수실행1_번암견적의뢰(협력)_구기동(제출)(95.0)(031121)" xfId="541" xr:uid="{00000000-0005-0000-0000-00000D020000}"/>
    <cellStyle name="_기장하수실행1_번암견적의뢰(협력)_구기동레포츠센타제출" xfId="542" xr:uid="{00000000-0005-0000-0000-00000E020000}"/>
    <cellStyle name="_기장하수실행1_번암견적의뢰(협력)_신천동주상복합신축공사" xfId="543" xr:uid="{00000000-0005-0000-0000-00000F020000}"/>
    <cellStyle name="_기장하수실행1_번암견적의뢰(협력)_용답동오피스텔가실행" xfId="544" xr:uid="{00000000-0005-0000-0000-000010020000}"/>
    <cellStyle name="_기장하수실행1_신천동주상복합신축공사" xfId="545" xr:uid="{00000000-0005-0000-0000-000011020000}"/>
    <cellStyle name="_기장하수실행1_용답동오피스텔가실행" xfId="546" xr:uid="{00000000-0005-0000-0000-000012020000}"/>
    <cellStyle name="_내수동 빌라 (개인) 4월30일" xfId="547" xr:uid="{00000000-0005-0000-0000-000013020000}"/>
    <cellStyle name="_내역003-추정내역" xfId="548" xr:uid="{00000000-0005-0000-0000-000014020000}"/>
    <cellStyle name="_내역서(통신전기)" xfId="549" xr:uid="{00000000-0005-0000-0000-000015020000}"/>
    <cellStyle name="_내역서-6.14(제출)" xfId="550" xr:uid="{00000000-0005-0000-0000-000016020000}"/>
    <cellStyle name="_단가철 Samsungenginnering" xfId="551" xr:uid="{00000000-0005-0000-0000-000017020000}"/>
    <cellStyle name="_단가표" xfId="552" xr:uid="{00000000-0005-0000-0000-000018020000}"/>
    <cellStyle name="_당팀-가실행작업" xfId="553" xr:uid="{00000000-0005-0000-0000-000019020000}"/>
    <cellStyle name="_대구 범어동 743 오피스텔 신축 굴토 및 토목공사(중공업)" xfId="554" xr:uid="{00000000-0005-0000-0000-00001A020000}"/>
    <cellStyle name="_대구 범어동 오피스텔(개산 1208)" xfId="555" xr:uid="{00000000-0005-0000-0000-00001B020000}"/>
    <cellStyle name="_대구, 경산 모델하우스 신축공사 공정표" xfId="556" xr:uid="{00000000-0005-0000-0000-00001C020000}"/>
    <cellStyle name="_대구역사약전내역(자재부제출)" xfId="557" xr:uid="{00000000-0005-0000-0000-00001D020000}"/>
    <cellStyle name="_대구용산APT(견적)" xfId="558" xr:uid="{00000000-0005-0000-0000-00001E020000}"/>
    <cellStyle name="_대리석사진" xfId="559" xr:uid="{00000000-0005-0000-0000-00001F020000}"/>
    <cellStyle name="_대비표양식" xfId="560" xr:uid="{00000000-0005-0000-0000-000020020000}"/>
    <cellStyle name="_대호전기" xfId="561" xr:uid="{00000000-0005-0000-0000-000021020000}"/>
    <cellStyle name="_도7결재양1" xfId="562" xr:uid="{00000000-0005-0000-0000-000022020000}"/>
    <cellStyle name="_도고천품의안11" xfId="563" xr:uid="{00000000-0005-0000-0000-000023020000}"/>
    <cellStyle name="_도고천품의안11_1" xfId="564" xr:uid="{00000000-0005-0000-0000-000024020000}"/>
    <cellStyle name="_도고천품의안11_1_구기동(제출)(95.0)(031121)" xfId="565" xr:uid="{00000000-0005-0000-0000-000025020000}"/>
    <cellStyle name="_도고천품의안11_1_구기동레포츠센타제출" xfId="566" xr:uid="{00000000-0005-0000-0000-000026020000}"/>
    <cellStyle name="_도고천품의안11_1_무안-광주2공구(협력)수정" xfId="567" xr:uid="{00000000-0005-0000-0000-000027020000}"/>
    <cellStyle name="_도고천품의안11_1_무안-광주2공구(협력)수정_구기동(제출)(95.0)(031121)" xfId="568" xr:uid="{00000000-0005-0000-0000-000028020000}"/>
    <cellStyle name="_도고천품의안11_1_무안-광주2공구(협력)수정_구기동레포츠센타제출" xfId="569" xr:uid="{00000000-0005-0000-0000-000029020000}"/>
    <cellStyle name="_도고천품의안11_1_무안-광주2공구(협력)수정_신천동주상복합신축공사" xfId="570" xr:uid="{00000000-0005-0000-0000-00002A020000}"/>
    <cellStyle name="_도고천품의안11_1_무안-광주2공구(협력)수정_용답동오피스텔가실행" xfId="571" xr:uid="{00000000-0005-0000-0000-00002B020000}"/>
    <cellStyle name="_도고천품의안11_1_번암견적의뢰(협력)" xfId="572" xr:uid="{00000000-0005-0000-0000-00002C020000}"/>
    <cellStyle name="_도고천품의안11_1_번암견적의뢰(협력)_구기동(제출)(95.0)(031121)" xfId="573" xr:uid="{00000000-0005-0000-0000-00002D020000}"/>
    <cellStyle name="_도고천품의안11_1_번암견적의뢰(협력)_구기동레포츠센타제출" xfId="574" xr:uid="{00000000-0005-0000-0000-00002E020000}"/>
    <cellStyle name="_도고천품의안11_1_번암견적의뢰(협력)_신천동주상복합신축공사" xfId="575" xr:uid="{00000000-0005-0000-0000-00002F020000}"/>
    <cellStyle name="_도고천품의안11_1_번암견적의뢰(협력)_용답동오피스텔가실행" xfId="576" xr:uid="{00000000-0005-0000-0000-000030020000}"/>
    <cellStyle name="_도고천품의안11_1_신천동주상복합신축공사" xfId="577" xr:uid="{00000000-0005-0000-0000-000031020000}"/>
    <cellStyle name="_도고천품의안11_1_용답동오피스텔가실행" xfId="578" xr:uid="{00000000-0005-0000-0000-000032020000}"/>
    <cellStyle name="_도고천품의안11_1_적상무주IC도로(1공구)" xfId="579" xr:uid="{00000000-0005-0000-0000-000033020000}"/>
    <cellStyle name="_도고천품의안11_1_적상무주IC도로(1공구)_구기동(제출)(95.0)(031121)" xfId="580" xr:uid="{00000000-0005-0000-0000-000034020000}"/>
    <cellStyle name="_도고천품의안11_1_적상무주IC도로(1공구)_구기동레포츠센타제출" xfId="581" xr:uid="{00000000-0005-0000-0000-000035020000}"/>
    <cellStyle name="_도고천품의안11_1_적상무주IC도로(1공구)_신천동주상복합신축공사" xfId="582" xr:uid="{00000000-0005-0000-0000-000036020000}"/>
    <cellStyle name="_도고천품의안11_1_적상무주IC도로(1공구)_용답동오피스텔가실행" xfId="583" xr:uid="{00000000-0005-0000-0000-000037020000}"/>
    <cellStyle name="_도고천품의안11_광주평동실행" xfId="584" xr:uid="{00000000-0005-0000-0000-000038020000}"/>
    <cellStyle name="_도고천품의안11_광주평동실행_구기동(제출)(95.0)(031121)" xfId="585" xr:uid="{00000000-0005-0000-0000-000039020000}"/>
    <cellStyle name="_도고천품의안11_광주평동실행_구기동레포츠센타제출" xfId="586" xr:uid="{00000000-0005-0000-0000-00003A020000}"/>
    <cellStyle name="_도고천품의안11_광주평동실행_번암견적의뢰(협력)" xfId="587" xr:uid="{00000000-0005-0000-0000-00003B020000}"/>
    <cellStyle name="_도고천품의안11_광주평동실행_번암견적의뢰(협력)_구기동(제출)(95.0)(031121)" xfId="588" xr:uid="{00000000-0005-0000-0000-00003C020000}"/>
    <cellStyle name="_도고천품의안11_광주평동실행_번암견적의뢰(협력)_구기동레포츠센타제출" xfId="589" xr:uid="{00000000-0005-0000-0000-00003D020000}"/>
    <cellStyle name="_도고천품의안11_광주평동실행_번암견적의뢰(협력)_신천동주상복합신축공사" xfId="590" xr:uid="{00000000-0005-0000-0000-00003E020000}"/>
    <cellStyle name="_도고천품의안11_광주평동실행_번암견적의뢰(협력)_용답동오피스텔가실행" xfId="591" xr:uid="{00000000-0005-0000-0000-00003F020000}"/>
    <cellStyle name="_도고천품의안11_광주평동실행_신천동주상복합신축공사" xfId="592" xr:uid="{00000000-0005-0000-0000-000040020000}"/>
    <cellStyle name="_도고천품의안11_광주평동실행_용답동오피스텔가실행" xfId="593" xr:uid="{00000000-0005-0000-0000-000041020000}"/>
    <cellStyle name="_도고천품의안11_광주평동품의1" xfId="594" xr:uid="{00000000-0005-0000-0000-000042020000}"/>
    <cellStyle name="_도고천품의안11_광주평동품의1_구기동(제출)(95.0)(031121)" xfId="595" xr:uid="{00000000-0005-0000-0000-000043020000}"/>
    <cellStyle name="_도고천품의안11_광주평동품의1_구기동레포츠센타제출" xfId="596" xr:uid="{00000000-0005-0000-0000-000044020000}"/>
    <cellStyle name="_도고천품의안11_광주평동품의1_무안-광주2공구(협력)수정" xfId="597" xr:uid="{00000000-0005-0000-0000-000045020000}"/>
    <cellStyle name="_도고천품의안11_광주평동품의1_무안-광주2공구(협력)수정_구기동(제출)(95.0)(031121)" xfId="598" xr:uid="{00000000-0005-0000-0000-000046020000}"/>
    <cellStyle name="_도고천품의안11_광주평동품의1_무안-광주2공구(협력)수정_구기동레포츠센타제출" xfId="599" xr:uid="{00000000-0005-0000-0000-000047020000}"/>
    <cellStyle name="_도고천품의안11_광주평동품의1_무안-광주2공구(협력)수정_신천동주상복합신축공사" xfId="600" xr:uid="{00000000-0005-0000-0000-000048020000}"/>
    <cellStyle name="_도고천품의안11_광주평동품의1_무안-광주2공구(협력)수정_용답동오피스텔가실행" xfId="601" xr:uid="{00000000-0005-0000-0000-000049020000}"/>
    <cellStyle name="_도고천품의안11_광주평동품의1_번암견적의뢰(협력)" xfId="602" xr:uid="{00000000-0005-0000-0000-00004A020000}"/>
    <cellStyle name="_도고천품의안11_광주평동품의1_번암견적의뢰(협력)_구기동(제출)(95.0)(031121)" xfId="603" xr:uid="{00000000-0005-0000-0000-00004B020000}"/>
    <cellStyle name="_도고천품의안11_광주평동품의1_번암견적의뢰(협력)_구기동레포츠센타제출" xfId="604" xr:uid="{00000000-0005-0000-0000-00004C020000}"/>
    <cellStyle name="_도고천품의안11_광주평동품의1_번암견적의뢰(협력)_신천동주상복합신축공사" xfId="605" xr:uid="{00000000-0005-0000-0000-00004D020000}"/>
    <cellStyle name="_도고천품의안11_광주평동품의1_번암견적의뢰(협력)_용답동오피스텔가실행" xfId="606" xr:uid="{00000000-0005-0000-0000-00004E020000}"/>
    <cellStyle name="_도고천품의안11_광주평동품의1_신천동주상복합신축공사" xfId="607" xr:uid="{00000000-0005-0000-0000-00004F020000}"/>
    <cellStyle name="_도고천품의안11_광주평동품의1_용답동오피스텔가실행" xfId="608" xr:uid="{00000000-0005-0000-0000-000050020000}"/>
    <cellStyle name="_도고천품의안11_광주평동품의1_적상무주IC도로(1공구)" xfId="609" xr:uid="{00000000-0005-0000-0000-000051020000}"/>
    <cellStyle name="_도고천품의안11_광주평동품의1_적상무주IC도로(1공구)_구기동(제출)(95.0)(031121)" xfId="610" xr:uid="{00000000-0005-0000-0000-000052020000}"/>
    <cellStyle name="_도고천품의안11_광주평동품의1_적상무주IC도로(1공구)_구기동레포츠센타제출" xfId="611" xr:uid="{00000000-0005-0000-0000-000053020000}"/>
    <cellStyle name="_도고천품의안11_광주평동품의1_적상무주IC도로(1공구)_신천동주상복합신축공사" xfId="612" xr:uid="{00000000-0005-0000-0000-000054020000}"/>
    <cellStyle name="_도고천품의안11_광주평동품의1_적상무주IC도로(1공구)_용답동오피스텔가실행" xfId="613" xr:uid="{00000000-0005-0000-0000-000055020000}"/>
    <cellStyle name="_도고천품의안11_구기동(제출)(95.0)(031121)" xfId="614" xr:uid="{00000000-0005-0000-0000-000056020000}"/>
    <cellStyle name="_도고천품의안11_구기동레포츠센타제출" xfId="615" xr:uid="{00000000-0005-0000-0000-000057020000}"/>
    <cellStyle name="_도고천품의안11_무안-광주2공구(협력)수정" xfId="616" xr:uid="{00000000-0005-0000-0000-000058020000}"/>
    <cellStyle name="_도고천품의안11_무안-광주2공구(협력)수정_구기동(제출)(95.0)(031121)" xfId="617" xr:uid="{00000000-0005-0000-0000-000059020000}"/>
    <cellStyle name="_도고천품의안11_무안-광주2공구(협력)수정_구기동레포츠센타제출" xfId="618" xr:uid="{00000000-0005-0000-0000-00005A020000}"/>
    <cellStyle name="_도고천품의안11_무안-광주2공구(협력)수정_신천동주상복합신축공사" xfId="619" xr:uid="{00000000-0005-0000-0000-00005B020000}"/>
    <cellStyle name="_도고천품의안11_무안-광주2공구(협력)수정_용답동오피스텔가실행" xfId="620" xr:uid="{00000000-0005-0000-0000-00005C020000}"/>
    <cellStyle name="_도고천품의안11_번암견적의뢰(협력)" xfId="621" xr:uid="{00000000-0005-0000-0000-00005D020000}"/>
    <cellStyle name="_도고천품의안11_번암견적의뢰(협력)_구기동(제출)(95.0)(031121)" xfId="622" xr:uid="{00000000-0005-0000-0000-00005E020000}"/>
    <cellStyle name="_도고천품의안11_번암견적의뢰(협력)_구기동레포츠센타제출" xfId="623" xr:uid="{00000000-0005-0000-0000-00005F020000}"/>
    <cellStyle name="_도고천품의안11_번암견적의뢰(협력)_신천동주상복합신축공사" xfId="624" xr:uid="{00000000-0005-0000-0000-000060020000}"/>
    <cellStyle name="_도고천품의안11_번암견적의뢰(협력)_용답동오피스텔가실행" xfId="625" xr:uid="{00000000-0005-0000-0000-000061020000}"/>
    <cellStyle name="_도고천품의안11_송학실행안" xfId="626" xr:uid="{00000000-0005-0000-0000-000062020000}"/>
    <cellStyle name="_도고천품의안11_송학실행안_구기동(제출)(95.0)(031121)" xfId="627" xr:uid="{00000000-0005-0000-0000-000063020000}"/>
    <cellStyle name="_도고천품의안11_송학실행안_구기동레포츠센타제출" xfId="628" xr:uid="{00000000-0005-0000-0000-000064020000}"/>
    <cellStyle name="_도고천품의안11_송학실행안_번암견적의뢰(협력)" xfId="629" xr:uid="{00000000-0005-0000-0000-000065020000}"/>
    <cellStyle name="_도고천품의안11_송학실행안_번암견적의뢰(협력)_구기동(제출)(95.0)(031121)" xfId="630" xr:uid="{00000000-0005-0000-0000-000066020000}"/>
    <cellStyle name="_도고천품의안11_송학실행안_번암견적의뢰(협력)_구기동레포츠센타제출" xfId="631" xr:uid="{00000000-0005-0000-0000-000067020000}"/>
    <cellStyle name="_도고천품의안11_송학실행안_번암견적의뢰(협력)_신천동주상복합신축공사" xfId="632" xr:uid="{00000000-0005-0000-0000-000068020000}"/>
    <cellStyle name="_도고천품의안11_송학실행안_번암견적의뢰(협력)_용답동오피스텔가실행" xfId="633" xr:uid="{00000000-0005-0000-0000-000069020000}"/>
    <cellStyle name="_도고천품의안11_송학실행안_신천동주상복합신축공사" xfId="634" xr:uid="{00000000-0005-0000-0000-00006A020000}"/>
    <cellStyle name="_도고천품의안11_송학실행안_용답동오피스텔가실행" xfId="635" xr:uid="{00000000-0005-0000-0000-00006B020000}"/>
    <cellStyle name="_도고천품의안11_송학하수품의(설계넣고)" xfId="636" xr:uid="{00000000-0005-0000-0000-00006C020000}"/>
    <cellStyle name="_도고천품의안11_송학하수품의(설계넣고)_구기동(제출)(95.0)(031121)" xfId="637" xr:uid="{00000000-0005-0000-0000-00006D020000}"/>
    <cellStyle name="_도고천품의안11_송학하수품의(설계넣고)_구기동레포츠센타제출" xfId="638" xr:uid="{00000000-0005-0000-0000-00006E020000}"/>
    <cellStyle name="_도고천품의안11_송학하수품의(설계넣고)_무안-광주2공구(협력)수정" xfId="639" xr:uid="{00000000-0005-0000-0000-00006F020000}"/>
    <cellStyle name="_도고천품의안11_송학하수품의(설계넣고)_무안-광주2공구(협력)수정_구기동(제출)(95.0)(031121)" xfId="640" xr:uid="{00000000-0005-0000-0000-000070020000}"/>
    <cellStyle name="_도고천품의안11_송학하수품의(설계넣고)_무안-광주2공구(협력)수정_구기동레포츠센타제출" xfId="641" xr:uid="{00000000-0005-0000-0000-000071020000}"/>
    <cellStyle name="_도고천품의안11_송학하수품의(설계넣고)_무안-광주2공구(협력)수정_신천동주상복합신축공사" xfId="642" xr:uid="{00000000-0005-0000-0000-000072020000}"/>
    <cellStyle name="_도고천품의안11_송학하수품의(설계넣고)_무안-광주2공구(협력)수정_용답동오피스텔가실행" xfId="643" xr:uid="{00000000-0005-0000-0000-000073020000}"/>
    <cellStyle name="_도고천품의안11_송학하수품의(설계넣고)_번암견적의뢰(협력)" xfId="644" xr:uid="{00000000-0005-0000-0000-000074020000}"/>
    <cellStyle name="_도고천품의안11_송학하수품의(설계넣고)_번암견적의뢰(협력)_구기동(제출)(95.0)(031121)" xfId="645" xr:uid="{00000000-0005-0000-0000-000075020000}"/>
    <cellStyle name="_도고천품의안11_송학하수품의(설계넣고)_번암견적의뢰(협력)_구기동레포츠센타제출" xfId="646" xr:uid="{00000000-0005-0000-0000-000076020000}"/>
    <cellStyle name="_도고천품의안11_송학하수품의(설계넣고)_번암견적의뢰(협력)_신천동주상복합신축공사" xfId="647" xr:uid="{00000000-0005-0000-0000-000077020000}"/>
    <cellStyle name="_도고천품의안11_송학하수품의(설계넣고)_번암견적의뢰(협력)_용답동오피스텔가실행" xfId="648" xr:uid="{00000000-0005-0000-0000-000078020000}"/>
    <cellStyle name="_도고천품의안11_송학하수품의(설계넣고)_신천동주상복합신축공사" xfId="649" xr:uid="{00000000-0005-0000-0000-000079020000}"/>
    <cellStyle name="_도고천품의안11_송학하수품의(설계넣고)_용답동오피스텔가실행" xfId="650" xr:uid="{00000000-0005-0000-0000-00007A020000}"/>
    <cellStyle name="_도고천품의안11_송학하수품의(설계넣고)_적상무주IC도로(1공구)" xfId="651" xr:uid="{00000000-0005-0000-0000-00007B020000}"/>
    <cellStyle name="_도고천품의안11_송학하수품의(설계넣고)_적상무주IC도로(1공구)_구기동(제출)(95.0)(031121)" xfId="652" xr:uid="{00000000-0005-0000-0000-00007C020000}"/>
    <cellStyle name="_도고천품의안11_송학하수품의(설계넣고)_적상무주IC도로(1공구)_구기동레포츠센타제출" xfId="653" xr:uid="{00000000-0005-0000-0000-00007D020000}"/>
    <cellStyle name="_도고천품의안11_송학하수품의(설계넣고)_적상무주IC도로(1공구)_신천동주상복합신축공사" xfId="654" xr:uid="{00000000-0005-0000-0000-00007E020000}"/>
    <cellStyle name="_도고천품의안11_송학하수품의(설계넣고)_적상무주IC도로(1공구)_용답동오피스텔가실행" xfId="655" xr:uid="{00000000-0005-0000-0000-00007F020000}"/>
    <cellStyle name="_도고천품의안11_신천동주상복합신축공사" xfId="656" xr:uid="{00000000-0005-0000-0000-000080020000}"/>
    <cellStyle name="_도고천품의안11_용답동오피스텔가실행" xfId="657" xr:uid="{00000000-0005-0000-0000-000081020000}"/>
    <cellStyle name="_도고천품의안11_적상무주IC도로(1공구)" xfId="658" xr:uid="{00000000-0005-0000-0000-000082020000}"/>
    <cellStyle name="_도고천품의안11_적상무주IC도로(1공구)_구기동(제출)(95.0)(031121)" xfId="659" xr:uid="{00000000-0005-0000-0000-000083020000}"/>
    <cellStyle name="_도고천품의안11_적상무주IC도로(1공구)_구기동레포츠센타제출" xfId="660" xr:uid="{00000000-0005-0000-0000-000084020000}"/>
    <cellStyle name="_도고천품의안11_적상무주IC도로(1공구)_신천동주상복합신축공사" xfId="661" xr:uid="{00000000-0005-0000-0000-000085020000}"/>
    <cellStyle name="_도고천품의안11_적상무주IC도로(1공구)_용답동오피스텔가실행" xfId="662" xr:uid="{00000000-0005-0000-0000-000086020000}"/>
    <cellStyle name="_도곡주공" xfId="663" xr:uid="{00000000-0005-0000-0000-000087020000}"/>
    <cellStyle name="_도곡주공_1" xfId="664" xr:uid="{00000000-0005-0000-0000-000088020000}"/>
    <cellStyle name="_도곡주공v95" xfId="665" xr:uid="{00000000-0005-0000-0000-000089020000}"/>
    <cellStyle name="_도곡주공v95_1" xfId="666" xr:uid="{00000000-0005-0000-0000-00008A020000}"/>
    <cellStyle name="_도급공사변경Ⅰ(0626)" xfId="667" xr:uid="{00000000-0005-0000-0000-00008B020000}"/>
    <cellStyle name="_도급정리(경량)-한국SGI방어진문화회관" xfId="668" xr:uid="{00000000-0005-0000-0000-00008C020000}"/>
    <cellStyle name="_도배정산" xfId="669" xr:uid="{00000000-0005-0000-0000-00008D020000}"/>
    <cellStyle name="_도장 현설단가" xfId="670" xr:uid="{00000000-0005-0000-0000-00008E020000}"/>
    <cellStyle name="_도장공사사진." xfId="671" xr:uid="{00000000-0005-0000-0000-00008F020000}"/>
    <cellStyle name="_동력" xfId="672" xr:uid="{00000000-0005-0000-0000-000090020000}"/>
    <cellStyle name="_동력설비" xfId="673" xr:uid="{00000000-0005-0000-0000-000091020000}"/>
    <cellStyle name="_디스플레이변경" xfId="674" xr:uid="{00000000-0005-0000-0000-000092020000}"/>
    <cellStyle name="_라이나 대구 (8차)" xfId="675" xr:uid="{00000000-0005-0000-0000-000093020000}"/>
    <cellStyle name="_로얄실행" xfId="676" xr:uid="{00000000-0005-0000-0000-000094020000}"/>
    <cellStyle name="_롯데본점 신관지하1층" xfId="677" xr:uid="{00000000-0005-0000-0000-000095020000}"/>
    <cellStyle name="_롯데쇼핑(주) 롯데 마그넷 영등포점 신축공사" xfId="678" xr:uid="{00000000-0005-0000-0000-000096020000}"/>
    <cellStyle name="_롯데쇼핑(주)소공동호텔분전반제작납품공사" xfId="679" xr:uid="{00000000-0005-0000-0000-000097020000}"/>
    <cellStyle name="_마가레트 호텔" xfId="680" xr:uid="{00000000-0005-0000-0000-000098020000}"/>
    <cellStyle name="_마그넷 도봉점" xfId="681" xr:uid="{00000000-0005-0000-0000-000099020000}"/>
    <cellStyle name="_마그넷 마산점" xfId="682" xr:uid="{00000000-0005-0000-0000-00009A020000}"/>
    <cellStyle name="_마그넷 중계점" xfId="683" xr:uid="{00000000-0005-0000-0000-00009B020000}"/>
    <cellStyle name="_마그넷마산점" xfId="684" xr:uid="{00000000-0005-0000-0000-00009C020000}"/>
    <cellStyle name="_매대견적양식1" xfId="685" xr:uid="{00000000-0005-0000-0000-00009D020000}"/>
    <cellStyle name="_매정견적보고" xfId="686" xr:uid="{00000000-0005-0000-0000-00009E020000}"/>
    <cellStyle name="_메뉴얼양식" xfId="687" xr:uid="{00000000-0005-0000-0000-00009F020000}"/>
    <cellStyle name="_명성병원1" xfId="688" xr:uid="{00000000-0005-0000-0000-0000A0020000}"/>
    <cellStyle name="_명암지도로실행" xfId="689" xr:uid="{00000000-0005-0000-0000-0000A1020000}"/>
    <cellStyle name="_명암지도로실행_구기동(제출)(95.0)(031121)" xfId="690" xr:uid="{00000000-0005-0000-0000-0000A2020000}"/>
    <cellStyle name="_명암지도로실행_구기동레포츠센타제출" xfId="691" xr:uid="{00000000-0005-0000-0000-0000A3020000}"/>
    <cellStyle name="_명암지도로실행_번암견적의뢰(협력)" xfId="692" xr:uid="{00000000-0005-0000-0000-0000A4020000}"/>
    <cellStyle name="_명암지도로실행_번암견적의뢰(협력)_구기동(제출)(95.0)(031121)" xfId="693" xr:uid="{00000000-0005-0000-0000-0000A5020000}"/>
    <cellStyle name="_명암지도로실행_번암견적의뢰(협력)_구기동레포츠센타제출" xfId="694" xr:uid="{00000000-0005-0000-0000-0000A6020000}"/>
    <cellStyle name="_명암지도로실행_번암견적의뢰(협력)_신천동주상복합신축공사" xfId="695" xr:uid="{00000000-0005-0000-0000-0000A7020000}"/>
    <cellStyle name="_명암지도로실행_번암견적의뢰(협력)_용답동오피스텔가실행" xfId="696" xr:uid="{00000000-0005-0000-0000-0000A8020000}"/>
    <cellStyle name="_명암지도로실행_신천동주상복합신축공사" xfId="697" xr:uid="{00000000-0005-0000-0000-0000A9020000}"/>
    <cellStyle name="_명암지도로실행_용답동오피스텔가실행" xfId="698" xr:uid="{00000000-0005-0000-0000-0000AA020000}"/>
    <cellStyle name="_명품가조명제어" xfId="699" xr:uid="{00000000-0005-0000-0000-0000AB020000}"/>
    <cellStyle name="_목공비교단가및확인서(1)" xfId="700" xr:uid="{00000000-0005-0000-0000-0000AC020000}"/>
    <cellStyle name="_목포약전계약내역" xfId="701" xr:uid="{00000000-0005-0000-0000-0000AD020000}"/>
    <cellStyle name="_무안-광주2공구(협력)" xfId="702" xr:uid="{00000000-0005-0000-0000-0000AE020000}"/>
    <cellStyle name="_무안-광주2공구(협력)_구기동(제출)(95.0)(031121)" xfId="703" xr:uid="{00000000-0005-0000-0000-0000AF020000}"/>
    <cellStyle name="_무안-광주2공구(협력)_구기동레포츠센타제출" xfId="704" xr:uid="{00000000-0005-0000-0000-0000B0020000}"/>
    <cellStyle name="_무안-광주2공구(협력)_신천동주상복합신축공사" xfId="705" xr:uid="{00000000-0005-0000-0000-0000B1020000}"/>
    <cellStyle name="_무안-광주2공구(협력)_용답동오피스텔가실행" xfId="706" xr:uid="{00000000-0005-0000-0000-0000B2020000}"/>
    <cellStyle name="_무안-광주2공구(협력)수정" xfId="707" xr:uid="{00000000-0005-0000-0000-0000B3020000}"/>
    <cellStyle name="_무안-광주2공구(협력)수정_구기동(제출)(95.0)(031121)" xfId="708" xr:uid="{00000000-0005-0000-0000-0000B4020000}"/>
    <cellStyle name="_무안-광주2공구(협력)수정_구기동레포츠센타제출" xfId="709" xr:uid="{00000000-0005-0000-0000-0000B5020000}"/>
    <cellStyle name="_무안-광주2공구(협력)수정_신천동주상복합신축공사" xfId="710" xr:uid="{00000000-0005-0000-0000-0000B6020000}"/>
    <cellStyle name="_무안-광주2공구(협력)수정_용답동오피스텔가실행" xfId="711" xr:uid="{00000000-0005-0000-0000-0000B7020000}"/>
    <cellStyle name="_문래동 방적 방림" xfId="712" xr:uid="{00000000-0005-0000-0000-0000B8020000}"/>
    <cellStyle name="_문래동가실행" xfId="713" xr:uid="{00000000-0005-0000-0000-0000B9020000}"/>
    <cellStyle name="_문래동쇼핑몰" xfId="714" xr:uid="{00000000-0005-0000-0000-0000BA020000}"/>
    <cellStyle name="_물가자료내역(vat포함)" xfId="715" xr:uid="{00000000-0005-0000-0000-0000BB020000}"/>
    <cellStyle name="_물가자료내역(VAT포함)_빙축열견적서(2006(1).05.22)송부" xfId="716" xr:uid="{00000000-0005-0000-0000-0000BC020000}"/>
    <cellStyle name="_물가자료내역(VAT포함)_지열견적서(2006(1).05.22)송부" xfId="717" xr:uid="{00000000-0005-0000-0000-0000BD020000}"/>
    <cellStyle name="_물량산출조서" xfId="718" xr:uid="{00000000-0005-0000-0000-0000BE020000}"/>
    <cellStyle name="_미용실 산출" xfId="719" xr:uid="{00000000-0005-0000-0000-0000BF020000}"/>
    <cellStyle name="_미일실행" xfId="720" xr:uid="{00000000-0005-0000-0000-0000C0020000}"/>
    <cellStyle name="_미일초등.미아중 공사대비표" xfId="721" xr:uid="{00000000-0005-0000-0000-0000C1020000}"/>
    <cellStyle name="_발주의뢰서" xfId="722" xr:uid="{00000000-0005-0000-0000-0000C2020000}"/>
    <cellStyle name="_방수공사사진" xfId="723" xr:uid="{00000000-0005-0000-0000-0000C3020000}"/>
    <cellStyle name="_방수천정창호유리석내역" xfId="724" xr:uid="{00000000-0005-0000-0000-0000C4020000}"/>
    <cellStyle name="_방어진9월기성신청확정(건축)" xfId="725" xr:uid="{00000000-0005-0000-0000-0000C5020000}"/>
    <cellStyle name="_번암견적의뢰(협력)" xfId="726" xr:uid="{00000000-0005-0000-0000-0000C6020000}"/>
    <cellStyle name="_번암견적의뢰(협력)_구기동(제출)(95.0)(031121)" xfId="727" xr:uid="{00000000-0005-0000-0000-0000C7020000}"/>
    <cellStyle name="_번암견적의뢰(협력)_구기동레포츠센타제출" xfId="728" xr:uid="{00000000-0005-0000-0000-0000C8020000}"/>
    <cellStyle name="_번암견적의뢰(협력)_신천동주상복합신축공사" xfId="729" xr:uid="{00000000-0005-0000-0000-0000C9020000}"/>
    <cellStyle name="_번암견적의뢰(협력)_용답동오피스텔가실행" xfId="730" xr:uid="{00000000-0005-0000-0000-0000CA020000}"/>
    <cellStyle name="_베네시티 스포츠 센터" xfId="731" xr:uid="{00000000-0005-0000-0000-0000CB020000}"/>
    <cellStyle name="_변경물량산출" xfId="732" xr:uid="{00000000-0005-0000-0000-0000CC020000}"/>
    <cellStyle name="_보고02-건축공사감액보고서(0714)" xfId="733" xr:uid="{00000000-0005-0000-0000-0000CD020000}"/>
    <cellStyle name="_보고서 cover" xfId="734" xr:uid="{00000000-0005-0000-0000-0000CE020000}"/>
    <cellStyle name="_복사본 극동선설수원M.H개보수공사(제출)" xfId="735" xr:uid="{00000000-0005-0000-0000-0000CF020000}"/>
    <cellStyle name="_본점)6,7층 리뉴얼공사 현장설명" xfId="736" xr:uid="{00000000-0005-0000-0000-0000D0020000}"/>
    <cellStyle name="_본점본관" xfId="737" xr:uid="{00000000-0005-0000-0000-0000D1020000}"/>
    <cellStyle name="_부민결재양1" xfId="738" xr:uid="{00000000-0005-0000-0000-0000D2020000}"/>
    <cellStyle name="_부산ion city-포스코건설" xfId="739" xr:uid="{00000000-0005-0000-0000-0000D3020000}"/>
    <cellStyle name="_부산한국은행-빙축열시스템-품셈적용견적-20060622" xfId="740" xr:uid="{00000000-0005-0000-0000-0000D4020000}"/>
    <cellStyle name="_부산한국은행-빙축열시스템-품셈적용견적-20060628" xfId="741" xr:uid="{00000000-0005-0000-0000-0000D5020000}"/>
    <cellStyle name="_부산한국은행-축열식지열시스템-품셈적용견적-20060622" xfId="742" xr:uid="{00000000-0005-0000-0000-0000D6020000}"/>
    <cellStyle name="_부산항가설전기공사" xfId="743" xr:uid="{00000000-0005-0000-0000-0000D7020000}"/>
    <cellStyle name="_부에나비스타 빌라 설계견적" xfId="744" xr:uid="{00000000-0005-0000-0000-0000D8020000}"/>
    <cellStyle name="_부에나비스타 빌라 인테리어공사" xfId="745" xr:uid="{00000000-0005-0000-0000-0000D9020000}"/>
    <cellStyle name="_부천테마파크" xfId="746" xr:uid="{00000000-0005-0000-0000-0000DA020000}"/>
    <cellStyle name="_부평점정산내역" xfId="747" xr:uid="{00000000-0005-0000-0000-0000DB020000}"/>
    <cellStyle name="_분당차병원" xfId="748" xr:uid="{00000000-0005-0000-0000-0000DC020000}"/>
    <cellStyle name="_분당타워팰리스공내역(실행)" xfId="749" xr:uid="{00000000-0005-0000-0000-0000DD020000}"/>
    <cellStyle name="_분석001-구조체투입관련" xfId="750" xr:uid="{00000000-0005-0000-0000-0000DE020000}"/>
    <cellStyle name="_분전반~1" xfId="751" xr:uid="{00000000-0005-0000-0000-0000DF020000}"/>
    <cellStyle name="_블루존 변경내역-제출" xfId="752" xr:uid="{00000000-0005-0000-0000-0000E0020000}"/>
    <cellStyle name="_블루존 변경내역-제출1229" xfId="753" xr:uid="{00000000-0005-0000-0000-0000E1020000}"/>
    <cellStyle name="_빙축열 자동제어" xfId="754" xr:uid="{00000000-0005-0000-0000-0000E2020000}"/>
    <cellStyle name="_빙축열견적_20060628-1" xfId="755" xr:uid="{00000000-0005-0000-0000-0000E3020000}"/>
    <cellStyle name="_빙축열견적_자동제어_20060628" xfId="756" xr:uid="{00000000-0005-0000-0000-0000E4020000}"/>
    <cellStyle name="_빙축열견적서(2006(1).05.22)송부" xfId="757" xr:uid="{00000000-0005-0000-0000-0000E5020000}"/>
    <cellStyle name="_사본 - 견적" xfId="758" xr:uid="{00000000-0005-0000-0000-0000E6020000}"/>
    <cellStyle name="_사본 - 견적_1. 가실행예산(0629 도면기준)" xfId="759" xr:uid="{00000000-0005-0000-0000-0000E7020000}"/>
    <cellStyle name="_사본 - 견적_1. 가실행예산(0629 도면기준)_4.일신통신 가실행예산(재견적合)" xfId="760" xr:uid="{00000000-0005-0000-0000-0000E8020000}"/>
    <cellStyle name="_사본 - 견적_1. 가실행예산(0629 도면기준)_을" xfId="761" xr:uid="{00000000-0005-0000-0000-0000E9020000}"/>
    <cellStyle name="_사본 - 견적_1.본실행 - 조정(안)" xfId="762" xr:uid="{00000000-0005-0000-0000-0000EA020000}"/>
    <cellStyle name="_사본 - 견적_1.본실행 - 조정(안)_4.일신통신 가실행예산(재견적合)" xfId="763" xr:uid="{00000000-0005-0000-0000-0000EB020000}"/>
    <cellStyle name="_사본 - 견적_1.본실행 - 조정(안)_을" xfId="764" xr:uid="{00000000-0005-0000-0000-0000EC020000}"/>
    <cellStyle name="_사본 - 견적_4.일신통신 가실행예산(재견적合)" xfId="765" xr:uid="{00000000-0005-0000-0000-0000ED020000}"/>
    <cellStyle name="_사본 - 견적_을" xfId="766" xr:uid="{00000000-0005-0000-0000-0000EE020000}"/>
    <cellStyle name="_사본 - 견적_총괄 내역서" xfId="767" xr:uid="{00000000-0005-0000-0000-0000EF020000}"/>
    <cellStyle name="_사본 - 견적_총괄 내역서_4.일신통신 가실행예산(재견적合)" xfId="768" xr:uid="{00000000-0005-0000-0000-0000F0020000}"/>
    <cellStyle name="_사본 - 견적_총괄 내역서_을" xfId="769" xr:uid="{00000000-0005-0000-0000-0000F1020000}"/>
    <cellStyle name="_사업부발송" xfId="770" xr:uid="{00000000-0005-0000-0000-0000F2020000}"/>
    <cellStyle name="_사전원가변경818(LUFFING CRANE)" xfId="771" xr:uid="{00000000-0005-0000-0000-0000F3020000}"/>
    <cellStyle name="_사전원가심의1" xfId="772" xr:uid="{00000000-0005-0000-0000-0000F4020000}"/>
    <cellStyle name="_사전원가심의1_,공내역" xfId="773" xr:uid="{00000000-0005-0000-0000-0000F5020000}"/>
    <cellStyle name="_사전원가심의1_,공내역_경희대치과대학" xfId="774" xr:uid="{00000000-0005-0000-0000-0000F6020000}"/>
    <cellStyle name="_사전원가심의1_,공내역_경희대치과대학_공용부" xfId="775" xr:uid="{00000000-0005-0000-0000-0000F7020000}"/>
    <cellStyle name="_사전원가심의1_,공내역_경희대치과대학_공용부_공용부" xfId="776" xr:uid="{00000000-0005-0000-0000-0000F8020000}"/>
    <cellStyle name="_사전원가심의1_,공내역_경희대치과대학_공용부_공용부_공용부" xfId="777" xr:uid="{00000000-0005-0000-0000-0000F9020000}"/>
    <cellStyle name="_사전원가심의1_,공내역_경희대치과대학_광주운암내역서(현설용)" xfId="778" xr:uid="{00000000-0005-0000-0000-0000FA020000}"/>
    <cellStyle name="_사전원가심의1_,공내역_경희대치과대학_목포남악내역서" xfId="779" xr:uid="{00000000-0005-0000-0000-0000FB020000}"/>
    <cellStyle name="_사전원가심의1_,공내역_경희대치과대학_삼성동I'PARK스포츠센타 보수공사(제출)" xfId="780" xr:uid="{00000000-0005-0000-0000-0000FC020000}"/>
    <cellStyle name="_사전원가심의1_,공내역_경희대치과대학_전기공사(추가)" xfId="781" xr:uid="{00000000-0005-0000-0000-0000FD020000}"/>
    <cellStyle name="_사전원가심의1_,공내역_경희대치과대학_종로무악 MH공사(실행)" xfId="782" xr:uid="{00000000-0005-0000-0000-0000FE020000}"/>
    <cellStyle name="_사전원가심의1_,공내역_공용부" xfId="783" xr:uid="{00000000-0005-0000-0000-0000FF020000}"/>
    <cellStyle name="_사전원가심의1_,공내역_공용부_공용부" xfId="784" xr:uid="{00000000-0005-0000-0000-000000030000}"/>
    <cellStyle name="_사전원가심의1_,공내역_공용부_공용부_공용부" xfId="785" xr:uid="{00000000-0005-0000-0000-000001030000}"/>
    <cellStyle name="_사전원가심의1_,공내역_광주운암내역서(현설용)" xfId="786" xr:uid="{00000000-0005-0000-0000-000002030000}"/>
    <cellStyle name="_사전원가심의1_,공내역_목포남악내역서" xfId="787" xr:uid="{00000000-0005-0000-0000-000003030000}"/>
    <cellStyle name="_사전원가심의1_,공내역_삼성동I'PARK스포츠센타 보수공사(제출)" xfId="788" xr:uid="{00000000-0005-0000-0000-000004030000}"/>
    <cellStyle name="_사전원가심의1_,공내역_울산천곡MH실행(재입찰)" xfId="789" xr:uid="{00000000-0005-0000-0000-000005030000}"/>
    <cellStyle name="_사전원가심의1_,공내역_울산천곡MH실행(재입찰)_공용부" xfId="790" xr:uid="{00000000-0005-0000-0000-000006030000}"/>
    <cellStyle name="_사전원가심의1_,공내역_울산천곡MH실행(재입찰)_공용부_공용부" xfId="791" xr:uid="{00000000-0005-0000-0000-000007030000}"/>
    <cellStyle name="_사전원가심의1_,공내역_울산천곡MH실행(재입찰)_공용부_공용부_공용부" xfId="792" xr:uid="{00000000-0005-0000-0000-000008030000}"/>
    <cellStyle name="_사전원가심의1_,공내역_울산천곡MH실행(재입찰)_광주운암내역서(현설용)" xfId="793" xr:uid="{00000000-0005-0000-0000-000009030000}"/>
    <cellStyle name="_사전원가심의1_,공내역_울산천곡MH실행(재입찰)_목포남악내역서" xfId="794" xr:uid="{00000000-0005-0000-0000-00000A030000}"/>
    <cellStyle name="_사전원가심의1_,공내역_울산천곡MH실행(재입찰)_삼성동I'PARK스포츠센타 보수공사(제출)" xfId="795" xr:uid="{00000000-0005-0000-0000-00000B030000}"/>
    <cellStyle name="_사전원가심의1_,공내역_울산천곡MH실행(재입찰)_전기공사(추가)" xfId="796" xr:uid="{00000000-0005-0000-0000-00000C030000}"/>
    <cellStyle name="_사전원가심의1_,공내역_울산천곡MH실행(재입찰)_종로무악 MH공사(실행)" xfId="797" xr:uid="{00000000-0005-0000-0000-00000D030000}"/>
    <cellStyle name="_사전원가심의1_,공내역_울산천곡설계비" xfId="798" xr:uid="{00000000-0005-0000-0000-00000E030000}"/>
    <cellStyle name="_사전원가심의1_,공내역_울산천곡설계비_공용부" xfId="799" xr:uid="{00000000-0005-0000-0000-00000F030000}"/>
    <cellStyle name="_사전원가심의1_,공내역_울산천곡설계비_공용부_공용부" xfId="800" xr:uid="{00000000-0005-0000-0000-000010030000}"/>
    <cellStyle name="_사전원가심의1_,공내역_울산천곡설계비_공용부_공용부_공용부" xfId="801" xr:uid="{00000000-0005-0000-0000-000011030000}"/>
    <cellStyle name="_사전원가심의1_,공내역_울산천곡설계비_광주운암내역서(현설용)" xfId="802" xr:uid="{00000000-0005-0000-0000-000012030000}"/>
    <cellStyle name="_사전원가심의1_,공내역_울산천곡설계비_목포남악내역서" xfId="803" xr:uid="{00000000-0005-0000-0000-000013030000}"/>
    <cellStyle name="_사전원가심의1_,공내역_울산천곡설계비_삼성동I'PARK스포츠센타 보수공사(제출)" xfId="804" xr:uid="{00000000-0005-0000-0000-000014030000}"/>
    <cellStyle name="_사전원가심의1_,공내역_울산천곡설계비_전기공사(추가)" xfId="805" xr:uid="{00000000-0005-0000-0000-000015030000}"/>
    <cellStyle name="_사전원가심의1_,공내역_울산천곡설계비_종로무악 MH공사(실행)" xfId="806" xr:uid="{00000000-0005-0000-0000-000016030000}"/>
    <cellStyle name="_사전원가심의1_,공내역_전기공사(추가)" xfId="807" xr:uid="{00000000-0005-0000-0000-000017030000}"/>
    <cellStyle name="_사전원가심의1_,공내역_종로무악 MH공사(실행)" xfId="808" xr:uid="{00000000-0005-0000-0000-000018030000}"/>
    <cellStyle name="_사전원가심의1_202_6동현설공내역(실행)" xfId="809" xr:uid="{00000000-0005-0000-0000-000019030000}"/>
    <cellStyle name="_사전원가심의1_202_6동현설공내역(실행)_공용부" xfId="810" xr:uid="{00000000-0005-0000-0000-00001A030000}"/>
    <cellStyle name="_사전원가심의1_202_6동현설공내역(실행)_공용부_공용부" xfId="811" xr:uid="{00000000-0005-0000-0000-00001B030000}"/>
    <cellStyle name="_사전원가심의1_경희대치과대학" xfId="812" xr:uid="{00000000-0005-0000-0000-00001C030000}"/>
    <cellStyle name="_사전원가심의1_경희대치과대학_공용부" xfId="813" xr:uid="{00000000-0005-0000-0000-00001D030000}"/>
    <cellStyle name="_사전원가심의1_경희대치과대학_공용부_공용부" xfId="814" xr:uid="{00000000-0005-0000-0000-00001E030000}"/>
    <cellStyle name="_사전원가심의1_경희대치과대학_공용부_공용부_공용부" xfId="815" xr:uid="{00000000-0005-0000-0000-00001F030000}"/>
    <cellStyle name="_사전원가심의1_경희대치과대학_광주운암내역서(현설용)" xfId="816" xr:uid="{00000000-0005-0000-0000-000020030000}"/>
    <cellStyle name="_사전원가심의1_경희대치과대학_목포남악내역서" xfId="817" xr:uid="{00000000-0005-0000-0000-000021030000}"/>
    <cellStyle name="_사전원가심의1_경희대치과대학_삼성동I'PARK스포츠센타 보수공사(제출)" xfId="818" xr:uid="{00000000-0005-0000-0000-000022030000}"/>
    <cellStyle name="_사전원가심의1_경희대치과대학_전기공사(추가)" xfId="819" xr:uid="{00000000-0005-0000-0000-000023030000}"/>
    <cellStyle name="_사전원가심의1_경희대치과대학_종로무악 MH공사(실행)" xfId="820" xr:uid="{00000000-0005-0000-0000-000024030000}"/>
    <cellStyle name="_사전원가심의1_경희의료원" xfId="821" xr:uid="{00000000-0005-0000-0000-000025030000}"/>
    <cellStyle name="_사전원가심의1_경희의료원_202_6동현설공내역(실행)" xfId="822" xr:uid="{00000000-0005-0000-0000-000026030000}"/>
    <cellStyle name="_사전원가심의1_경희의료원_202_6동현설공내역(실행)_공용부" xfId="823" xr:uid="{00000000-0005-0000-0000-000027030000}"/>
    <cellStyle name="_사전원가심의1_경희의료원_202_6동현설공내역(실행)_공용부_공용부" xfId="824" xr:uid="{00000000-0005-0000-0000-000028030000}"/>
    <cellStyle name="_사전원가심의1_경희의료원_경희대치과대학" xfId="825" xr:uid="{00000000-0005-0000-0000-000029030000}"/>
    <cellStyle name="_사전원가심의1_경희의료원_경희대치과대학_공용부" xfId="826" xr:uid="{00000000-0005-0000-0000-00002A030000}"/>
    <cellStyle name="_사전원가심의1_경희의료원_경희대치과대학_공용부_공용부" xfId="827" xr:uid="{00000000-0005-0000-0000-00002B030000}"/>
    <cellStyle name="_사전원가심의1_경희의료원_경희대치과대학_공용부_공용부_공용부" xfId="828" xr:uid="{00000000-0005-0000-0000-00002C030000}"/>
    <cellStyle name="_사전원가심의1_경희의료원_경희대치과대학_광주운암내역서(현설용)" xfId="829" xr:uid="{00000000-0005-0000-0000-00002D030000}"/>
    <cellStyle name="_사전원가심의1_경희의료원_경희대치과대학_목포남악내역서" xfId="830" xr:uid="{00000000-0005-0000-0000-00002E030000}"/>
    <cellStyle name="_사전원가심의1_경희의료원_경희대치과대학_삼성동I'PARK스포츠센타 보수공사(제출)" xfId="831" xr:uid="{00000000-0005-0000-0000-00002F030000}"/>
    <cellStyle name="_사전원가심의1_경희의료원_경희대치과대학_전기공사(추가)" xfId="832" xr:uid="{00000000-0005-0000-0000-000030030000}"/>
    <cellStyle name="_사전원가심의1_경희의료원_경희대치과대학_종로무악 MH공사(실행)" xfId="833" xr:uid="{00000000-0005-0000-0000-000031030000}"/>
    <cellStyle name="_사전원가심의1_경희의료원_경희의료원실행" xfId="834" xr:uid="{00000000-0005-0000-0000-000032030000}"/>
    <cellStyle name="_사전원가심의1_경희의료원_경희의료원실행_경희의료원실행" xfId="835" xr:uid="{00000000-0005-0000-0000-000033030000}"/>
    <cellStyle name="_사전원가심의1_경희의료원_경희의료원실행_경희의료원실행_공용부" xfId="836" xr:uid="{00000000-0005-0000-0000-000034030000}"/>
    <cellStyle name="_사전원가심의1_경희의료원_경희의료원실행_경희의료원실행_공용부_공용부" xfId="837" xr:uid="{00000000-0005-0000-0000-000035030000}"/>
    <cellStyle name="_사전원가심의1_경희의료원_경희의료원실행_공용부" xfId="838" xr:uid="{00000000-0005-0000-0000-000036030000}"/>
    <cellStyle name="_사전원가심의1_경희의료원_경희의료원실행_공용부_공용부" xfId="839" xr:uid="{00000000-0005-0000-0000-000037030000}"/>
    <cellStyle name="_사전원가심의1_경희의료원_공용부" xfId="840" xr:uid="{00000000-0005-0000-0000-000038030000}"/>
    <cellStyle name="_사전원가심의1_경희의료원_공용부_공용부" xfId="841" xr:uid="{00000000-0005-0000-0000-000039030000}"/>
    <cellStyle name="_사전원가심의1_경희의료원_공용부_공용부_공용부" xfId="842" xr:uid="{00000000-0005-0000-0000-00003A030000}"/>
    <cellStyle name="_사전원가심의1_경희의료원_광주운암내역서(현설용)" xfId="843" xr:uid="{00000000-0005-0000-0000-00003B030000}"/>
    <cellStyle name="_사전원가심의1_경희의료원_목포남악내역서" xfId="844" xr:uid="{00000000-0005-0000-0000-00003C030000}"/>
    <cellStyle name="_사전원가심의1_경희의료원_삼성동I'PARK스포츠센타 보수공사(제출)" xfId="845" xr:uid="{00000000-0005-0000-0000-00003D030000}"/>
    <cellStyle name="_사전원가심의1_경희의료원_울산천곡MH실행(재입찰)" xfId="846" xr:uid="{00000000-0005-0000-0000-00003E030000}"/>
    <cellStyle name="_사전원가심의1_경희의료원_울산천곡MH실행(재입찰)_공용부" xfId="847" xr:uid="{00000000-0005-0000-0000-00003F030000}"/>
    <cellStyle name="_사전원가심의1_경희의료원_울산천곡MH실행(재입찰)_공용부_공용부" xfId="848" xr:uid="{00000000-0005-0000-0000-000040030000}"/>
    <cellStyle name="_사전원가심의1_경희의료원_울산천곡MH실행(재입찰)_공용부_공용부_공용부" xfId="849" xr:uid="{00000000-0005-0000-0000-000041030000}"/>
    <cellStyle name="_사전원가심의1_경희의료원_울산천곡MH실행(재입찰)_광주운암내역서(현설용)" xfId="850" xr:uid="{00000000-0005-0000-0000-000042030000}"/>
    <cellStyle name="_사전원가심의1_경희의료원_울산천곡MH실행(재입찰)_목포남악내역서" xfId="851" xr:uid="{00000000-0005-0000-0000-000043030000}"/>
    <cellStyle name="_사전원가심의1_경희의료원_울산천곡MH실행(재입찰)_삼성동I'PARK스포츠센타 보수공사(제출)" xfId="852" xr:uid="{00000000-0005-0000-0000-000044030000}"/>
    <cellStyle name="_사전원가심의1_경희의료원_울산천곡MH실행(재입찰)_전기공사(추가)" xfId="853" xr:uid="{00000000-0005-0000-0000-000045030000}"/>
    <cellStyle name="_사전원가심의1_경희의료원_울산천곡MH실행(재입찰)_종로무악 MH공사(실행)" xfId="854" xr:uid="{00000000-0005-0000-0000-000046030000}"/>
    <cellStyle name="_사전원가심의1_경희의료원_울산천곡설계비" xfId="855" xr:uid="{00000000-0005-0000-0000-000047030000}"/>
    <cellStyle name="_사전원가심의1_경희의료원_울산천곡설계비_공용부" xfId="856" xr:uid="{00000000-0005-0000-0000-000048030000}"/>
    <cellStyle name="_사전원가심의1_경희의료원_울산천곡설계비_공용부_공용부" xfId="857" xr:uid="{00000000-0005-0000-0000-000049030000}"/>
    <cellStyle name="_사전원가심의1_경희의료원_울산천곡설계비_공용부_공용부_공용부" xfId="858" xr:uid="{00000000-0005-0000-0000-00004A030000}"/>
    <cellStyle name="_사전원가심의1_경희의료원_울산천곡설계비_광주운암내역서(현설용)" xfId="859" xr:uid="{00000000-0005-0000-0000-00004B030000}"/>
    <cellStyle name="_사전원가심의1_경희의료원_울산천곡설계비_목포남악내역서" xfId="860" xr:uid="{00000000-0005-0000-0000-00004C030000}"/>
    <cellStyle name="_사전원가심의1_경희의료원_울산천곡설계비_삼성동I'PARK스포츠센타 보수공사(제출)" xfId="861" xr:uid="{00000000-0005-0000-0000-00004D030000}"/>
    <cellStyle name="_사전원가심의1_경희의료원_울산천곡설계비_전기공사(추가)" xfId="862" xr:uid="{00000000-0005-0000-0000-00004E030000}"/>
    <cellStyle name="_사전원가심의1_경희의료원_울산천곡설계비_종로무악 MH공사(실행)" xfId="863" xr:uid="{00000000-0005-0000-0000-00004F030000}"/>
    <cellStyle name="_사전원가심의1_경희의료원_전기공사(추가)" xfId="864" xr:uid="{00000000-0005-0000-0000-000050030000}"/>
    <cellStyle name="_사전원가심의1_경희의료원_종로무악 MH공사(실행)" xfId="865" xr:uid="{00000000-0005-0000-0000-000051030000}"/>
    <cellStyle name="_사전원가심의1_경희의료원실행" xfId="866" xr:uid="{00000000-0005-0000-0000-000052030000}"/>
    <cellStyle name="_사전원가심의1_경희의료원실행_공용부" xfId="867" xr:uid="{00000000-0005-0000-0000-000053030000}"/>
    <cellStyle name="_사전원가심의1_경희의료원실행_공용부_공용부" xfId="868" xr:uid="{00000000-0005-0000-0000-000054030000}"/>
    <cellStyle name="_사전원가심의1_공용부" xfId="869" xr:uid="{00000000-0005-0000-0000-000055030000}"/>
    <cellStyle name="_사전원가심의1_공용부_공용부" xfId="870" xr:uid="{00000000-0005-0000-0000-000056030000}"/>
    <cellStyle name="_사전원가심의1_공용부_공용부_공용부" xfId="871" xr:uid="{00000000-0005-0000-0000-000057030000}"/>
    <cellStyle name="_사전원가심의1_광주운암내역서(현설용)" xfId="872" xr:uid="{00000000-0005-0000-0000-000058030000}"/>
    <cellStyle name="_사전원가심의1_대전가오(현설용공내역서)" xfId="873" xr:uid="{00000000-0005-0000-0000-000059030000}"/>
    <cellStyle name="_사전원가심의1_대전가오(현설용공내역서)_경희대치과대학" xfId="874" xr:uid="{00000000-0005-0000-0000-00005A030000}"/>
    <cellStyle name="_사전원가심의1_대전가오(현설용공내역서)_경희대치과대학_공용부" xfId="875" xr:uid="{00000000-0005-0000-0000-00005B030000}"/>
    <cellStyle name="_사전원가심의1_대전가오(현설용공내역서)_경희대치과대학_공용부_공용부" xfId="876" xr:uid="{00000000-0005-0000-0000-00005C030000}"/>
    <cellStyle name="_사전원가심의1_대전가오(현설용공내역서)_경희대치과대학_공용부_공용부_공용부" xfId="877" xr:uid="{00000000-0005-0000-0000-00005D030000}"/>
    <cellStyle name="_사전원가심의1_대전가오(현설용공내역서)_경희대치과대학_광주운암내역서(현설용)" xfId="878" xr:uid="{00000000-0005-0000-0000-00005E030000}"/>
    <cellStyle name="_사전원가심의1_대전가오(현설용공내역서)_경희대치과대학_목포남악내역서" xfId="879" xr:uid="{00000000-0005-0000-0000-00005F030000}"/>
    <cellStyle name="_사전원가심의1_대전가오(현설용공내역서)_경희대치과대학_삼성동I'PARK스포츠센타 보수공사(제출)" xfId="880" xr:uid="{00000000-0005-0000-0000-000060030000}"/>
    <cellStyle name="_사전원가심의1_대전가오(현설용공내역서)_경희대치과대학_전기공사(추가)" xfId="881" xr:uid="{00000000-0005-0000-0000-000061030000}"/>
    <cellStyle name="_사전원가심의1_대전가오(현설용공내역서)_경희대치과대학_종로무악 MH공사(실행)" xfId="882" xr:uid="{00000000-0005-0000-0000-000062030000}"/>
    <cellStyle name="_사전원가심의1_대전가오(현설용공내역서)_공내역서" xfId="883" xr:uid="{00000000-0005-0000-0000-000063030000}"/>
    <cellStyle name="_사전원가심의1_대전가오(현설용공내역서)_공내역서_경희대치과대학" xfId="884" xr:uid="{00000000-0005-0000-0000-000064030000}"/>
    <cellStyle name="_사전원가심의1_대전가오(현설용공내역서)_공내역서_경희대치과대학_공용부" xfId="885" xr:uid="{00000000-0005-0000-0000-000065030000}"/>
    <cellStyle name="_사전원가심의1_대전가오(현설용공내역서)_공내역서_경희대치과대학_공용부_공용부" xfId="886" xr:uid="{00000000-0005-0000-0000-000066030000}"/>
    <cellStyle name="_사전원가심의1_대전가오(현설용공내역서)_공내역서_경희대치과대학_공용부_공용부_공용부" xfId="887" xr:uid="{00000000-0005-0000-0000-000067030000}"/>
    <cellStyle name="_사전원가심의1_대전가오(현설용공내역서)_공내역서_경희대치과대학_광주운암내역서(현설용)" xfId="888" xr:uid="{00000000-0005-0000-0000-000068030000}"/>
    <cellStyle name="_사전원가심의1_대전가오(현설용공내역서)_공내역서_경희대치과대학_목포남악내역서" xfId="889" xr:uid="{00000000-0005-0000-0000-000069030000}"/>
    <cellStyle name="_사전원가심의1_대전가오(현설용공내역서)_공내역서_경희대치과대학_삼성동I'PARK스포츠센타 보수공사(제출)" xfId="890" xr:uid="{00000000-0005-0000-0000-00006A030000}"/>
    <cellStyle name="_사전원가심의1_대전가오(현설용공내역서)_공내역서_경희대치과대학_전기공사(추가)" xfId="891" xr:uid="{00000000-0005-0000-0000-00006B030000}"/>
    <cellStyle name="_사전원가심의1_대전가오(현설용공내역서)_공내역서_경희대치과대학_종로무악 MH공사(실행)" xfId="892" xr:uid="{00000000-0005-0000-0000-00006C030000}"/>
    <cellStyle name="_사전원가심의1_대전가오(현설용공내역서)_공내역서_공용부" xfId="893" xr:uid="{00000000-0005-0000-0000-00006D030000}"/>
    <cellStyle name="_사전원가심의1_대전가오(현설용공내역서)_공내역서_공용부_공용부" xfId="894" xr:uid="{00000000-0005-0000-0000-00006E030000}"/>
    <cellStyle name="_사전원가심의1_대전가오(현설용공내역서)_공내역서_공용부_공용부_공용부" xfId="895" xr:uid="{00000000-0005-0000-0000-00006F030000}"/>
    <cellStyle name="_사전원가심의1_대전가오(현설용공내역서)_공내역서_광주운암내역서(현설용)" xfId="896" xr:uid="{00000000-0005-0000-0000-000070030000}"/>
    <cellStyle name="_사전원가심의1_대전가오(현설용공내역서)_공내역서_목포남악내역서" xfId="897" xr:uid="{00000000-0005-0000-0000-000071030000}"/>
    <cellStyle name="_사전원가심의1_대전가오(현설용공내역서)_공내역서_삼성동I'PARK스포츠센타 보수공사(제출)" xfId="898" xr:uid="{00000000-0005-0000-0000-000072030000}"/>
    <cellStyle name="_사전원가심의1_대전가오(현설용공내역서)_공내역서_울산천곡MH실행(재입찰)" xfId="899" xr:uid="{00000000-0005-0000-0000-000073030000}"/>
    <cellStyle name="_사전원가심의1_대전가오(현설용공내역서)_공내역서_울산천곡MH실행(재입찰)_공용부" xfId="900" xr:uid="{00000000-0005-0000-0000-000074030000}"/>
    <cellStyle name="_사전원가심의1_대전가오(현설용공내역서)_공내역서_울산천곡MH실행(재입찰)_공용부_공용부" xfId="901" xr:uid="{00000000-0005-0000-0000-000075030000}"/>
    <cellStyle name="_사전원가심의1_대전가오(현설용공내역서)_공내역서_울산천곡MH실행(재입찰)_공용부_공용부_공용부" xfId="902" xr:uid="{00000000-0005-0000-0000-000076030000}"/>
    <cellStyle name="_사전원가심의1_대전가오(현설용공내역서)_공내역서_울산천곡MH실행(재입찰)_광주운암내역서(현설용)" xfId="903" xr:uid="{00000000-0005-0000-0000-000077030000}"/>
    <cellStyle name="_사전원가심의1_대전가오(현설용공내역서)_공내역서_울산천곡MH실행(재입찰)_목포남악내역서" xfId="904" xr:uid="{00000000-0005-0000-0000-000078030000}"/>
    <cellStyle name="_사전원가심의1_대전가오(현설용공내역서)_공내역서_울산천곡MH실행(재입찰)_삼성동I'PARK스포츠센타 보수공사(제출)" xfId="905" xr:uid="{00000000-0005-0000-0000-000079030000}"/>
    <cellStyle name="_사전원가심의1_대전가오(현설용공내역서)_공내역서_울산천곡MH실행(재입찰)_전기공사(추가)" xfId="906" xr:uid="{00000000-0005-0000-0000-00007A030000}"/>
    <cellStyle name="_사전원가심의1_대전가오(현설용공내역서)_공내역서_울산천곡MH실행(재입찰)_종로무악 MH공사(실행)" xfId="907" xr:uid="{00000000-0005-0000-0000-00007B030000}"/>
    <cellStyle name="_사전원가심의1_대전가오(현설용공내역서)_공내역서_울산천곡설계비" xfId="908" xr:uid="{00000000-0005-0000-0000-00007C030000}"/>
    <cellStyle name="_사전원가심의1_대전가오(현설용공내역서)_공내역서_울산천곡설계비_공용부" xfId="909" xr:uid="{00000000-0005-0000-0000-00007D030000}"/>
    <cellStyle name="_사전원가심의1_대전가오(현설용공내역서)_공내역서_울산천곡설계비_공용부_공용부" xfId="910" xr:uid="{00000000-0005-0000-0000-00007E030000}"/>
    <cellStyle name="_사전원가심의1_대전가오(현설용공내역서)_공내역서_울산천곡설계비_공용부_공용부_공용부" xfId="911" xr:uid="{00000000-0005-0000-0000-00007F030000}"/>
    <cellStyle name="_사전원가심의1_대전가오(현설용공내역서)_공내역서_울산천곡설계비_광주운암내역서(현설용)" xfId="912" xr:uid="{00000000-0005-0000-0000-000080030000}"/>
    <cellStyle name="_사전원가심의1_대전가오(현설용공내역서)_공내역서_울산천곡설계비_목포남악내역서" xfId="913" xr:uid="{00000000-0005-0000-0000-000081030000}"/>
    <cellStyle name="_사전원가심의1_대전가오(현설용공내역서)_공내역서_울산천곡설계비_삼성동I'PARK스포츠센타 보수공사(제출)" xfId="914" xr:uid="{00000000-0005-0000-0000-000082030000}"/>
    <cellStyle name="_사전원가심의1_대전가오(현설용공내역서)_공내역서_울산천곡설계비_전기공사(추가)" xfId="915" xr:uid="{00000000-0005-0000-0000-000083030000}"/>
    <cellStyle name="_사전원가심의1_대전가오(현설용공내역서)_공내역서_울산천곡설계비_종로무악 MH공사(실행)" xfId="916" xr:uid="{00000000-0005-0000-0000-000084030000}"/>
    <cellStyle name="_사전원가심의1_대전가오(현설용공내역서)_공내역서_전기공사(추가)" xfId="917" xr:uid="{00000000-0005-0000-0000-000085030000}"/>
    <cellStyle name="_사전원가심의1_대전가오(현설용공내역서)_공내역서_종로무악 MH공사(실행)" xfId="918" xr:uid="{00000000-0005-0000-0000-000086030000}"/>
    <cellStyle name="_사전원가심의1_대전가오(현설용공내역서)_공용부" xfId="919" xr:uid="{00000000-0005-0000-0000-000087030000}"/>
    <cellStyle name="_사전원가심의1_대전가오(현설용공내역서)_공용부_공용부" xfId="920" xr:uid="{00000000-0005-0000-0000-000088030000}"/>
    <cellStyle name="_사전원가심의1_대전가오(현설용공내역서)_공용부_공용부_공용부" xfId="921" xr:uid="{00000000-0005-0000-0000-000089030000}"/>
    <cellStyle name="_사전원가심의1_대전가오(현설용공내역서)_광주운암내역서(현설용)" xfId="922" xr:uid="{00000000-0005-0000-0000-00008A030000}"/>
    <cellStyle name="_사전원가심의1_대전가오(현설용공내역서)_목포남악내역서" xfId="923" xr:uid="{00000000-0005-0000-0000-00008B030000}"/>
    <cellStyle name="_사전원가심의1_대전가오(현설용공내역서)_삼성동I'PARK스포츠센타 보수공사(제출)" xfId="924" xr:uid="{00000000-0005-0000-0000-00008C030000}"/>
    <cellStyle name="_사전원가심의1_대전가오(현설용공내역서)_울산천곡MH실행(재입찰)" xfId="925" xr:uid="{00000000-0005-0000-0000-00008D030000}"/>
    <cellStyle name="_사전원가심의1_대전가오(현설용공내역서)_울산천곡MH실행(재입찰)_공용부" xfId="926" xr:uid="{00000000-0005-0000-0000-00008E030000}"/>
    <cellStyle name="_사전원가심의1_대전가오(현설용공내역서)_울산천곡MH실행(재입찰)_공용부_공용부" xfId="927" xr:uid="{00000000-0005-0000-0000-00008F030000}"/>
    <cellStyle name="_사전원가심의1_대전가오(현설용공내역서)_울산천곡MH실행(재입찰)_공용부_공용부_공용부" xfId="928" xr:uid="{00000000-0005-0000-0000-000090030000}"/>
    <cellStyle name="_사전원가심의1_대전가오(현설용공내역서)_울산천곡MH실행(재입찰)_광주운암내역서(현설용)" xfId="929" xr:uid="{00000000-0005-0000-0000-000091030000}"/>
    <cellStyle name="_사전원가심의1_대전가오(현설용공내역서)_울산천곡MH실행(재입찰)_목포남악내역서" xfId="930" xr:uid="{00000000-0005-0000-0000-000092030000}"/>
    <cellStyle name="_사전원가심의1_대전가오(현설용공내역서)_울산천곡MH실행(재입찰)_삼성동I'PARK스포츠센타 보수공사(제출)" xfId="931" xr:uid="{00000000-0005-0000-0000-000093030000}"/>
    <cellStyle name="_사전원가심의1_대전가오(현설용공내역서)_울산천곡MH실행(재입찰)_전기공사(추가)" xfId="932" xr:uid="{00000000-0005-0000-0000-000094030000}"/>
    <cellStyle name="_사전원가심의1_대전가오(현설용공내역서)_울산천곡MH실행(재입찰)_종로무악 MH공사(실행)" xfId="933" xr:uid="{00000000-0005-0000-0000-000095030000}"/>
    <cellStyle name="_사전원가심의1_대전가오(현설용공내역서)_울산천곡설계비" xfId="934" xr:uid="{00000000-0005-0000-0000-000096030000}"/>
    <cellStyle name="_사전원가심의1_대전가오(현설용공내역서)_울산천곡설계비_공용부" xfId="935" xr:uid="{00000000-0005-0000-0000-000097030000}"/>
    <cellStyle name="_사전원가심의1_대전가오(현설용공내역서)_울산천곡설계비_공용부_공용부" xfId="936" xr:uid="{00000000-0005-0000-0000-000098030000}"/>
    <cellStyle name="_사전원가심의1_대전가오(현설용공내역서)_울산천곡설계비_공용부_공용부_공용부" xfId="937" xr:uid="{00000000-0005-0000-0000-000099030000}"/>
    <cellStyle name="_사전원가심의1_대전가오(현설용공내역서)_울산천곡설계비_광주운암내역서(현설용)" xfId="938" xr:uid="{00000000-0005-0000-0000-00009A030000}"/>
    <cellStyle name="_사전원가심의1_대전가오(현설용공내역서)_울산천곡설계비_목포남악내역서" xfId="939" xr:uid="{00000000-0005-0000-0000-00009B030000}"/>
    <cellStyle name="_사전원가심의1_대전가오(현설용공내역서)_울산천곡설계비_삼성동I'PARK스포츠센타 보수공사(제출)" xfId="940" xr:uid="{00000000-0005-0000-0000-00009C030000}"/>
    <cellStyle name="_사전원가심의1_대전가오(현설용공내역서)_울산천곡설계비_전기공사(추가)" xfId="941" xr:uid="{00000000-0005-0000-0000-00009D030000}"/>
    <cellStyle name="_사전원가심의1_대전가오(현설용공내역서)_울산천곡설계비_종로무악 MH공사(실행)" xfId="942" xr:uid="{00000000-0005-0000-0000-00009E030000}"/>
    <cellStyle name="_사전원가심의1_대전가오(현설용공내역서)_전기공사(추가)" xfId="943" xr:uid="{00000000-0005-0000-0000-00009F030000}"/>
    <cellStyle name="_사전원가심의1_대전가오(현설용공내역서)_종로무악 MH공사(실행)" xfId="944" xr:uid="{00000000-0005-0000-0000-0000A0030000}"/>
    <cellStyle name="_사전원가심의1_목포남악내역서" xfId="945" xr:uid="{00000000-0005-0000-0000-0000A1030000}"/>
    <cellStyle name="_사전원가심의1_벤처오피스빌딩" xfId="946" xr:uid="{00000000-0005-0000-0000-0000A2030000}"/>
    <cellStyle name="_사전원가심의1_벤처오피스빌딩_,공내역" xfId="947" xr:uid="{00000000-0005-0000-0000-0000A3030000}"/>
    <cellStyle name="_사전원가심의1_벤처오피스빌딩_,공내역_경희대치과대학" xfId="948" xr:uid="{00000000-0005-0000-0000-0000A4030000}"/>
    <cellStyle name="_사전원가심의1_벤처오피스빌딩_,공내역_경희대치과대학_공용부" xfId="949" xr:uid="{00000000-0005-0000-0000-0000A5030000}"/>
    <cellStyle name="_사전원가심의1_벤처오피스빌딩_,공내역_경희대치과대학_공용부_공용부" xfId="950" xr:uid="{00000000-0005-0000-0000-0000A6030000}"/>
    <cellStyle name="_사전원가심의1_벤처오피스빌딩_,공내역_경희대치과대학_공용부_공용부_공용부" xfId="951" xr:uid="{00000000-0005-0000-0000-0000A7030000}"/>
    <cellStyle name="_사전원가심의1_벤처오피스빌딩_,공내역_경희대치과대학_광주운암내역서(현설용)" xfId="952" xr:uid="{00000000-0005-0000-0000-0000A8030000}"/>
    <cellStyle name="_사전원가심의1_벤처오피스빌딩_,공내역_경희대치과대학_목포남악내역서" xfId="953" xr:uid="{00000000-0005-0000-0000-0000A9030000}"/>
    <cellStyle name="_사전원가심의1_벤처오피스빌딩_,공내역_경희대치과대학_삼성동I'PARK스포츠센타 보수공사(제출)" xfId="954" xr:uid="{00000000-0005-0000-0000-0000AA030000}"/>
    <cellStyle name="_사전원가심의1_벤처오피스빌딩_,공내역_경희대치과대학_전기공사(추가)" xfId="955" xr:uid="{00000000-0005-0000-0000-0000AB030000}"/>
    <cellStyle name="_사전원가심의1_벤처오피스빌딩_,공내역_경희대치과대학_종로무악 MH공사(실행)" xfId="956" xr:uid="{00000000-0005-0000-0000-0000AC030000}"/>
    <cellStyle name="_사전원가심의1_벤처오피스빌딩_,공내역_공용부" xfId="957" xr:uid="{00000000-0005-0000-0000-0000AD030000}"/>
    <cellStyle name="_사전원가심의1_벤처오피스빌딩_,공내역_공용부_공용부" xfId="958" xr:uid="{00000000-0005-0000-0000-0000AE030000}"/>
    <cellStyle name="_사전원가심의1_벤처오피스빌딩_,공내역_공용부_공용부_공용부" xfId="959" xr:uid="{00000000-0005-0000-0000-0000AF030000}"/>
    <cellStyle name="_사전원가심의1_벤처오피스빌딩_,공내역_광주운암내역서(현설용)" xfId="960" xr:uid="{00000000-0005-0000-0000-0000B0030000}"/>
    <cellStyle name="_사전원가심의1_벤처오피스빌딩_,공내역_목포남악내역서" xfId="961" xr:uid="{00000000-0005-0000-0000-0000B1030000}"/>
    <cellStyle name="_사전원가심의1_벤처오피스빌딩_,공내역_삼성동I'PARK스포츠센타 보수공사(제출)" xfId="962" xr:uid="{00000000-0005-0000-0000-0000B2030000}"/>
    <cellStyle name="_사전원가심의1_벤처오피스빌딩_,공내역_울산천곡MH실행(재입찰)" xfId="963" xr:uid="{00000000-0005-0000-0000-0000B3030000}"/>
    <cellStyle name="_사전원가심의1_벤처오피스빌딩_,공내역_울산천곡MH실행(재입찰)_공용부" xfId="964" xr:uid="{00000000-0005-0000-0000-0000B4030000}"/>
    <cellStyle name="_사전원가심의1_벤처오피스빌딩_,공내역_울산천곡MH실행(재입찰)_공용부_공용부" xfId="965" xr:uid="{00000000-0005-0000-0000-0000B5030000}"/>
    <cellStyle name="_사전원가심의1_벤처오피스빌딩_,공내역_울산천곡MH실행(재입찰)_공용부_공용부_공용부" xfId="966" xr:uid="{00000000-0005-0000-0000-0000B6030000}"/>
    <cellStyle name="_사전원가심의1_벤처오피스빌딩_,공내역_울산천곡MH실행(재입찰)_광주운암내역서(현설용)" xfId="967" xr:uid="{00000000-0005-0000-0000-0000B7030000}"/>
    <cellStyle name="_사전원가심의1_벤처오피스빌딩_,공내역_울산천곡MH실행(재입찰)_목포남악내역서" xfId="968" xr:uid="{00000000-0005-0000-0000-0000B8030000}"/>
    <cellStyle name="_사전원가심의1_벤처오피스빌딩_,공내역_울산천곡MH실행(재입찰)_삼성동I'PARK스포츠센타 보수공사(제출)" xfId="969" xr:uid="{00000000-0005-0000-0000-0000B9030000}"/>
    <cellStyle name="_사전원가심의1_벤처오피스빌딩_,공내역_울산천곡MH실행(재입찰)_전기공사(추가)" xfId="970" xr:uid="{00000000-0005-0000-0000-0000BA030000}"/>
    <cellStyle name="_사전원가심의1_벤처오피스빌딩_,공내역_울산천곡MH실행(재입찰)_종로무악 MH공사(실행)" xfId="971" xr:uid="{00000000-0005-0000-0000-0000BB030000}"/>
    <cellStyle name="_사전원가심의1_벤처오피스빌딩_,공내역_울산천곡설계비" xfId="972" xr:uid="{00000000-0005-0000-0000-0000BC030000}"/>
    <cellStyle name="_사전원가심의1_벤처오피스빌딩_,공내역_울산천곡설계비_공용부" xfId="973" xr:uid="{00000000-0005-0000-0000-0000BD030000}"/>
    <cellStyle name="_사전원가심의1_벤처오피스빌딩_,공내역_울산천곡설계비_공용부_공용부" xfId="974" xr:uid="{00000000-0005-0000-0000-0000BE030000}"/>
    <cellStyle name="_사전원가심의1_벤처오피스빌딩_,공내역_울산천곡설계비_공용부_공용부_공용부" xfId="975" xr:uid="{00000000-0005-0000-0000-0000BF030000}"/>
    <cellStyle name="_사전원가심의1_벤처오피스빌딩_,공내역_울산천곡설계비_광주운암내역서(현설용)" xfId="976" xr:uid="{00000000-0005-0000-0000-0000C0030000}"/>
    <cellStyle name="_사전원가심의1_벤처오피스빌딩_,공내역_울산천곡설계비_목포남악내역서" xfId="977" xr:uid="{00000000-0005-0000-0000-0000C1030000}"/>
    <cellStyle name="_사전원가심의1_벤처오피스빌딩_,공내역_울산천곡설계비_삼성동I'PARK스포츠센타 보수공사(제출)" xfId="978" xr:uid="{00000000-0005-0000-0000-0000C2030000}"/>
    <cellStyle name="_사전원가심의1_벤처오피스빌딩_,공내역_울산천곡설계비_전기공사(추가)" xfId="979" xr:uid="{00000000-0005-0000-0000-0000C3030000}"/>
    <cellStyle name="_사전원가심의1_벤처오피스빌딩_,공내역_울산천곡설계비_종로무악 MH공사(실행)" xfId="980" xr:uid="{00000000-0005-0000-0000-0000C4030000}"/>
    <cellStyle name="_사전원가심의1_벤처오피스빌딩_,공내역_전기공사(추가)" xfId="981" xr:uid="{00000000-0005-0000-0000-0000C5030000}"/>
    <cellStyle name="_사전원가심의1_벤처오피스빌딩_,공내역_종로무악 MH공사(실행)" xfId="982" xr:uid="{00000000-0005-0000-0000-0000C6030000}"/>
    <cellStyle name="_사전원가심의1_벤처오피스빌딩_202_6동현설공내역(실행)" xfId="983" xr:uid="{00000000-0005-0000-0000-0000C7030000}"/>
    <cellStyle name="_사전원가심의1_벤처오피스빌딩_202_6동현설공내역(실행)_공용부" xfId="984" xr:uid="{00000000-0005-0000-0000-0000C8030000}"/>
    <cellStyle name="_사전원가심의1_벤처오피스빌딩_202_6동현설공내역(실행)_공용부_공용부" xfId="985" xr:uid="{00000000-0005-0000-0000-0000C9030000}"/>
    <cellStyle name="_사전원가심의1_벤처오피스빌딩_경희대치과대학" xfId="986" xr:uid="{00000000-0005-0000-0000-0000CA030000}"/>
    <cellStyle name="_사전원가심의1_벤처오피스빌딩_경희대치과대학_공용부" xfId="987" xr:uid="{00000000-0005-0000-0000-0000CB030000}"/>
    <cellStyle name="_사전원가심의1_벤처오피스빌딩_경희대치과대학_공용부_공용부" xfId="988" xr:uid="{00000000-0005-0000-0000-0000CC030000}"/>
    <cellStyle name="_사전원가심의1_벤처오피스빌딩_경희대치과대학_공용부_공용부_공용부" xfId="989" xr:uid="{00000000-0005-0000-0000-0000CD030000}"/>
    <cellStyle name="_사전원가심의1_벤처오피스빌딩_경희대치과대학_광주운암내역서(현설용)" xfId="990" xr:uid="{00000000-0005-0000-0000-0000CE030000}"/>
    <cellStyle name="_사전원가심의1_벤처오피스빌딩_경희대치과대학_목포남악내역서" xfId="991" xr:uid="{00000000-0005-0000-0000-0000CF030000}"/>
    <cellStyle name="_사전원가심의1_벤처오피스빌딩_경희대치과대학_삼성동I'PARK스포츠센타 보수공사(제출)" xfId="992" xr:uid="{00000000-0005-0000-0000-0000D0030000}"/>
    <cellStyle name="_사전원가심의1_벤처오피스빌딩_경희대치과대학_전기공사(추가)" xfId="993" xr:uid="{00000000-0005-0000-0000-0000D1030000}"/>
    <cellStyle name="_사전원가심의1_벤처오피스빌딩_경희대치과대학_종로무악 MH공사(실행)" xfId="994" xr:uid="{00000000-0005-0000-0000-0000D2030000}"/>
    <cellStyle name="_사전원가심의1_벤처오피스빌딩_경희의료원" xfId="995" xr:uid="{00000000-0005-0000-0000-0000D3030000}"/>
    <cellStyle name="_사전원가심의1_벤처오피스빌딩_경희의료원_202_6동현설공내역(실행)" xfId="996" xr:uid="{00000000-0005-0000-0000-0000D4030000}"/>
    <cellStyle name="_사전원가심의1_벤처오피스빌딩_경희의료원_202_6동현설공내역(실행)_공용부" xfId="997" xr:uid="{00000000-0005-0000-0000-0000D5030000}"/>
    <cellStyle name="_사전원가심의1_벤처오피스빌딩_경희의료원_202_6동현설공내역(실행)_공용부_공용부" xfId="998" xr:uid="{00000000-0005-0000-0000-0000D6030000}"/>
    <cellStyle name="_사전원가심의1_벤처오피스빌딩_경희의료원_경희대치과대학" xfId="999" xr:uid="{00000000-0005-0000-0000-0000D7030000}"/>
    <cellStyle name="_사전원가심의1_벤처오피스빌딩_경희의료원_경희대치과대학_공용부" xfId="1000" xr:uid="{00000000-0005-0000-0000-0000D8030000}"/>
    <cellStyle name="_사전원가심의1_벤처오피스빌딩_경희의료원_경희대치과대학_공용부_공용부" xfId="1001" xr:uid="{00000000-0005-0000-0000-0000D9030000}"/>
    <cellStyle name="_사전원가심의1_벤처오피스빌딩_경희의료원_경희대치과대학_공용부_공용부_공용부" xfId="1002" xr:uid="{00000000-0005-0000-0000-0000DA030000}"/>
    <cellStyle name="_사전원가심의1_벤처오피스빌딩_경희의료원_경희대치과대학_광주운암내역서(현설용)" xfId="1003" xr:uid="{00000000-0005-0000-0000-0000DB030000}"/>
    <cellStyle name="_사전원가심의1_벤처오피스빌딩_경희의료원_경희대치과대학_목포남악내역서" xfId="1004" xr:uid="{00000000-0005-0000-0000-0000DC030000}"/>
    <cellStyle name="_사전원가심의1_벤처오피스빌딩_경희의료원_경희대치과대학_삼성동I'PARK스포츠센타 보수공사(제출)" xfId="1005" xr:uid="{00000000-0005-0000-0000-0000DD030000}"/>
    <cellStyle name="_사전원가심의1_벤처오피스빌딩_경희의료원_경희대치과대학_전기공사(추가)" xfId="1006" xr:uid="{00000000-0005-0000-0000-0000DE030000}"/>
    <cellStyle name="_사전원가심의1_벤처오피스빌딩_경희의료원_경희대치과대학_종로무악 MH공사(실행)" xfId="1007" xr:uid="{00000000-0005-0000-0000-0000DF030000}"/>
    <cellStyle name="_사전원가심의1_벤처오피스빌딩_경희의료원_경희의료원실행" xfId="1008" xr:uid="{00000000-0005-0000-0000-0000E0030000}"/>
    <cellStyle name="_사전원가심의1_벤처오피스빌딩_경희의료원_경희의료원실행_경희의료원실행" xfId="1009" xr:uid="{00000000-0005-0000-0000-0000E1030000}"/>
    <cellStyle name="_사전원가심의1_벤처오피스빌딩_경희의료원_경희의료원실행_경희의료원실행_공용부" xfId="1010" xr:uid="{00000000-0005-0000-0000-0000E2030000}"/>
    <cellStyle name="_사전원가심의1_벤처오피스빌딩_경희의료원_경희의료원실행_경희의료원실행_공용부_공용부" xfId="1011" xr:uid="{00000000-0005-0000-0000-0000E3030000}"/>
    <cellStyle name="_사전원가심의1_벤처오피스빌딩_경희의료원_경희의료원실행_공용부" xfId="1012" xr:uid="{00000000-0005-0000-0000-0000E4030000}"/>
    <cellStyle name="_사전원가심의1_벤처오피스빌딩_경희의료원_경희의료원실행_공용부_공용부" xfId="1013" xr:uid="{00000000-0005-0000-0000-0000E5030000}"/>
    <cellStyle name="_사전원가심의1_벤처오피스빌딩_경희의료원_공용부" xfId="1014" xr:uid="{00000000-0005-0000-0000-0000E6030000}"/>
    <cellStyle name="_사전원가심의1_벤처오피스빌딩_경희의료원_공용부_공용부" xfId="1015" xr:uid="{00000000-0005-0000-0000-0000E7030000}"/>
    <cellStyle name="_사전원가심의1_벤처오피스빌딩_경희의료원_공용부_공용부_공용부" xfId="1016" xr:uid="{00000000-0005-0000-0000-0000E8030000}"/>
    <cellStyle name="_사전원가심의1_벤처오피스빌딩_경희의료원_광주운암내역서(현설용)" xfId="1017" xr:uid="{00000000-0005-0000-0000-0000E9030000}"/>
    <cellStyle name="_사전원가심의1_벤처오피스빌딩_경희의료원_목포남악내역서" xfId="1018" xr:uid="{00000000-0005-0000-0000-0000EA030000}"/>
    <cellStyle name="_사전원가심의1_벤처오피스빌딩_경희의료원_삼성동I'PARK스포츠센타 보수공사(제출)" xfId="1019" xr:uid="{00000000-0005-0000-0000-0000EB030000}"/>
    <cellStyle name="_사전원가심의1_벤처오피스빌딩_경희의료원_울산천곡MH실행(재입찰)" xfId="1020" xr:uid="{00000000-0005-0000-0000-0000EC030000}"/>
    <cellStyle name="_사전원가심의1_벤처오피스빌딩_경희의료원_울산천곡MH실행(재입찰)_공용부" xfId="1021" xr:uid="{00000000-0005-0000-0000-0000ED030000}"/>
    <cellStyle name="_사전원가심의1_벤처오피스빌딩_경희의료원_울산천곡MH실행(재입찰)_공용부_공용부" xfId="1022" xr:uid="{00000000-0005-0000-0000-0000EE030000}"/>
    <cellStyle name="_사전원가심의1_벤처오피스빌딩_경희의료원_울산천곡MH실행(재입찰)_공용부_공용부_공용부" xfId="1023" xr:uid="{00000000-0005-0000-0000-0000EF030000}"/>
    <cellStyle name="_사전원가심의1_벤처오피스빌딩_경희의료원_울산천곡MH실행(재입찰)_광주운암내역서(현설용)" xfId="1024" xr:uid="{00000000-0005-0000-0000-0000F0030000}"/>
    <cellStyle name="_사전원가심의1_벤처오피스빌딩_경희의료원_울산천곡MH실행(재입찰)_목포남악내역서" xfId="1025" xr:uid="{00000000-0005-0000-0000-0000F1030000}"/>
    <cellStyle name="_사전원가심의1_벤처오피스빌딩_경희의료원_울산천곡MH실행(재입찰)_삼성동I'PARK스포츠센타 보수공사(제출)" xfId="1026" xr:uid="{00000000-0005-0000-0000-0000F2030000}"/>
    <cellStyle name="_사전원가심의1_벤처오피스빌딩_경희의료원_울산천곡MH실행(재입찰)_전기공사(추가)" xfId="1027" xr:uid="{00000000-0005-0000-0000-0000F3030000}"/>
    <cellStyle name="_사전원가심의1_벤처오피스빌딩_경희의료원_울산천곡MH실행(재입찰)_종로무악 MH공사(실행)" xfId="1028" xr:uid="{00000000-0005-0000-0000-0000F4030000}"/>
    <cellStyle name="_사전원가심의1_벤처오피스빌딩_경희의료원_울산천곡설계비" xfId="1029" xr:uid="{00000000-0005-0000-0000-0000F5030000}"/>
    <cellStyle name="_사전원가심의1_벤처오피스빌딩_경희의료원_울산천곡설계비_공용부" xfId="1030" xr:uid="{00000000-0005-0000-0000-0000F6030000}"/>
    <cellStyle name="_사전원가심의1_벤처오피스빌딩_경희의료원_울산천곡설계비_공용부_공용부" xfId="1031" xr:uid="{00000000-0005-0000-0000-0000F7030000}"/>
    <cellStyle name="_사전원가심의1_벤처오피스빌딩_경희의료원_울산천곡설계비_공용부_공용부_공용부" xfId="1032" xr:uid="{00000000-0005-0000-0000-0000F8030000}"/>
    <cellStyle name="_사전원가심의1_벤처오피스빌딩_경희의료원_울산천곡설계비_광주운암내역서(현설용)" xfId="1033" xr:uid="{00000000-0005-0000-0000-0000F9030000}"/>
    <cellStyle name="_사전원가심의1_벤처오피스빌딩_경희의료원_울산천곡설계비_목포남악내역서" xfId="1034" xr:uid="{00000000-0005-0000-0000-0000FA030000}"/>
    <cellStyle name="_사전원가심의1_벤처오피스빌딩_경희의료원_울산천곡설계비_삼성동I'PARK스포츠센타 보수공사(제출)" xfId="1035" xr:uid="{00000000-0005-0000-0000-0000FB030000}"/>
    <cellStyle name="_사전원가심의1_벤처오피스빌딩_경희의료원_울산천곡설계비_전기공사(추가)" xfId="1036" xr:uid="{00000000-0005-0000-0000-0000FC030000}"/>
    <cellStyle name="_사전원가심의1_벤처오피스빌딩_경희의료원_울산천곡설계비_종로무악 MH공사(실행)" xfId="1037" xr:uid="{00000000-0005-0000-0000-0000FD030000}"/>
    <cellStyle name="_사전원가심의1_벤처오피스빌딩_경희의료원_전기공사(추가)" xfId="1038" xr:uid="{00000000-0005-0000-0000-0000FE030000}"/>
    <cellStyle name="_사전원가심의1_벤처오피스빌딩_경희의료원_종로무악 MH공사(실행)" xfId="1039" xr:uid="{00000000-0005-0000-0000-0000FF030000}"/>
    <cellStyle name="_사전원가심의1_벤처오피스빌딩_경희의료원실행" xfId="1040" xr:uid="{00000000-0005-0000-0000-000000040000}"/>
    <cellStyle name="_사전원가심의1_벤처오피스빌딩_경희의료원실행_공용부" xfId="1041" xr:uid="{00000000-0005-0000-0000-000001040000}"/>
    <cellStyle name="_사전원가심의1_벤처오피스빌딩_경희의료원실행_공용부_공용부" xfId="1042" xr:uid="{00000000-0005-0000-0000-000002040000}"/>
    <cellStyle name="_사전원가심의1_벤처오피스빌딩_공용부" xfId="1043" xr:uid="{00000000-0005-0000-0000-000003040000}"/>
    <cellStyle name="_사전원가심의1_벤처오피스빌딩_공용부_공용부" xfId="1044" xr:uid="{00000000-0005-0000-0000-000004040000}"/>
    <cellStyle name="_사전원가심의1_벤처오피스빌딩_공용부_공용부_공용부" xfId="1045" xr:uid="{00000000-0005-0000-0000-000005040000}"/>
    <cellStyle name="_사전원가심의1_벤처오피스빌딩_광주운암내역서(현설용)" xfId="1046" xr:uid="{00000000-0005-0000-0000-000006040000}"/>
    <cellStyle name="_사전원가심의1_벤처오피스빌딩_대전가오(현설용공내역서)" xfId="1047" xr:uid="{00000000-0005-0000-0000-000007040000}"/>
    <cellStyle name="_사전원가심의1_벤처오피스빌딩_대전가오(현설용공내역서)_경희대치과대학" xfId="1048" xr:uid="{00000000-0005-0000-0000-000008040000}"/>
    <cellStyle name="_사전원가심의1_벤처오피스빌딩_대전가오(현설용공내역서)_경희대치과대학_공용부" xfId="1049" xr:uid="{00000000-0005-0000-0000-000009040000}"/>
    <cellStyle name="_사전원가심의1_벤처오피스빌딩_대전가오(현설용공내역서)_경희대치과대학_공용부_공용부" xfId="1050" xr:uid="{00000000-0005-0000-0000-00000A040000}"/>
    <cellStyle name="_사전원가심의1_벤처오피스빌딩_대전가오(현설용공내역서)_경희대치과대학_공용부_공용부_공용부" xfId="1051" xr:uid="{00000000-0005-0000-0000-00000B040000}"/>
    <cellStyle name="_사전원가심의1_벤처오피스빌딩_대전가오(현설용공내역서)_경희대치과대학_광주운암내역서(현설용)" xfId="1052" xr:uid="{00000000-0005-0000-0000-00000C040000}"/>
    <cellStyle name="_사전원가심의1_벤처오피스빌딩_대전가오(현설용공내역서)_경희대치과대학_목포남악내역서" xfId="1053" xr:uid="{00000000-0005-0000-0000-00000D040000}"/>
    <cellStyle name="_사전원가심의1_벤처오피스빌딩_대전가오(현설용공내역서)_경희대치과대학_삼성동I'PARK스포츠센타 보수공사(제출)" xfId="1054" xr:uid="{00000000-0005-0000-0000-00000E040000}"/>
    <cellStyle name="_사전원가심의1_벤처오피스빌딩_대전가오(현설용공내역서)_경희대치과대학_전기공사(추가)" xfId="1055" xr:uid="{00000000-0005-0000-0000-00000F040000}"/>
    <cellStyle name="_사전원가심의1_벤처오피스빌딩_대전가오(현설용공내역서)_경희대치과대학_종로무악 MH공사(실행)" xfId="1056" xr:uid="{00000000-0005-0000-0000-000010040000}"/>
    <cellStyle name="_사전원가심의1_벤처오피스빌딩_대전가오(현설용공내역서)_공내역서" xfId="1057" xr:uid="{00000000-0005-0000-0000-000011040000}"/>
    <cellStyle name="_사전원가심의1_벤처오피스빌딩_대전가오(현설용공내역서)_공내역서_경희대치과대학" xfId="1058" xr:uid="{00000000-0005-0000-0000-000012040000}"/>
    <cellStyle name="_사전원가심의1_벤처오피스빌딩_대전가오(현설용공내역서)_공내역서_경희대치과대학_공용부" xfId="1059" xr:uid="{00000000-0005-0000-0000-000013040000}"/>
    <cellStyle name="_사전원가심의1_벤처오피스빌딩_대전가오(현설용공내역서)_공내역서_경희대치과대학_공용부_공용부" xfId="1060" xr:uid="{00000000-0005-0000-0000-000014040000}"/>
    <cellStyle name="_사전원가심의1_벤처오피스빌딩_대전가오(현설용공내역서)_공내역서_경희대치과대학_공용부_공용부_공용부" xfId="1061" xr:uid="{00000000-0005-0000-0000-000015040000}"/>
    <cellStyle name="_사전원가심의1_벤처오피스빌딩_대전가오(현설용공내역서)_공내역서_경희대치과대학_광주운암내역서(현설용)" xfId="1062" xr:uid="{00000000-0005-0000-0000-000016040000}"/>
    <cellStyle name="_사전원가심의1_벤처오피스빌딩_대전가오(현설용공내역서)_공내역서_경희대치과대학_목포남악내역서" xfId="1063" xr:uid="{00000000-0005-0000-0000-000017040000}"/>
    <cellStyle name="_사전원가심의1_벤처오피스빌딩_대전가오(현설용공내역서)_공내역서_경희대치과대학_삼성동I'PARK스포츠센타 보수공사(제출)" xfId="1064" xr:uid="{00000000-0005-0000-0000-000018040000}"/>
    <cellStyle name="_사전원가심의1_벤처오피스빌딩_대전가오(현설용공내역서)_공내역서_경희대치과대학_전기공사(추가)" xfId="1065" xr:uid="{00000000-0005-0000-0000-000019040000}"/>
    <cellStyle name="_사전원가심의1_벤처오피스빌딩_대전가오(현설용공내역서)_공내역서_경희대치과대학_종로무악 MH공사(실행)" xfId="1066" xr:uid="{00000000-0005-0000-0000-00001A040000}"/>
    <cellStyle name="_사전원가심의1_벤처오피스빌딩_대전가오(현설용공내역서)_공내역서_공용부" xfId="1067" xr:uid="{00000000-0005-0000-0000-00001B040000}"/>
    <cellStyle name="_사전원가심의1_벤처오피스빌딩_대전가오(현설용공내역서)_공내역서_공용부_공용부" xfId="1068" xr:uid="{00000000-0005-0000-0000-00001C040000}"/>
    <cellStyle name="_사전원가심의1_벤처오피스빌딩_대전가오(현설용공내역서)_공내역서_공용부_공용부_공용부" xfId="1069" xr:uid="{00000000-0005-0000-0000-00001D040000}"/>
    <cellStyle name="_사전원가심의1_벤처오피스빌딩_대전가오(현설용공내역서)_공내역서_광주운암내역서(현설용)" xfId="1070" xr:uid="{00000000-0005-0000-0000-00001E040000}"/>
    <cellStyle name="_사전원가심의1_벤처오피스빌딩_대전가오(현설용공내역서)_공내역서_목포남악내역서" xfId="1071" xr:uid="{00000000-0005-0000-0000-00001F040000}"/>
    <cellStyle name="_사전원가심의1_벤처오피스빌딩_대전가오(현설용공내역서)_공내역서_삼성동I'PARK스포츠센타 보수공사(제출)" xfId="1072" xr:uid="{00000000-0005-0000-0000-000020040000}"/>
    <cellStyle name="_사전원가심의1_벤처오피스빌딩_대전가오(현설용공내역서)_공내역서_울산천곡MH실행(재입찰)" xfId="1073" xr:uid="{00000000-0005-0000-0000-000021040000}"/>
    <cellStyle name="_사전원가심의1_벤처오피스빌딩_대전가오(현설용공내역서)_공내역서_울산천곡MH실행(재입찰)_공용부" xfId="1074" xr:uid="{00000000-0005-0000-0000-000022040000}"/>
    <cellStyle name="_사전원가심의1_벤처오피스빌딩_대전가오(현설용공내역서)_공내역서_울산천곡MH실행(재입찰)_공용부_공용부" xfId="1075" xr:uid="{00000000-0005-0000-0000-000023040000}"/>
    <cellStyle name="_사전원가심의1_벤처오피스빌딩_대전가오(현설용공내역서)_공내역서_울산천곡MH실행(재입찰)_공용부_공용부_공용부" xfId="1076" xr:uid="{00000000-0005-0000-0000-000024040000}"/>
    <cellStyle name="_사전원가심의1_벤처오피스빌딩_대전가오(현설용공내역서)_공내역서_울산천곡MH실행(재입찰)_광주운암내역서(현설용)" xfId="1077" xr:uid="{00000000-0005-0000-0000-000025040000}"/>
    <cellStyle name="_사전원가심의1_벤처오피스빌딩_대전가오(현설용공내역서)_공내역서_울산천곡MH실행(재입찰)_목포남악내역서" xfId="1078" xr:uid="{00000000-0005-0000-0000-000026040000}"/>
    <cellStyle name="_사전원가심의1_벤처오피스빌딩_대전가오(현설용공내역서)_공내역서_울산천곡MH실행(재입찰)_삼성동I'PARK스포츠센타 보수공사(제출)" xfId="1079" xr:uid="{00000000-0005-0000-0000-000027040000}"/>
    <cellStyle name="_사전원가심의1_벤처오피스빌딩_대전가오(현설용공내역서)_공내역서_울산천곡MH실행(재입찰)_전기공사(추가)" xfId="1080" xr:uid="{00000000-0005-0000-0000-000028040000}"/>
    <cellStyle name="_사전원가심의1_벤처오피스빌딩_대전가오(현설용공내역서)_공내역서_울산천곡MH실행(재입찰)_종로무악 MH공사(실행)" xfId="1081" xr:uid="{00000000-0005-0000-0000-000029040000}"/>
    <cellStyle name="_사전원가심의1_벤처오피스빌딩_대전가오(현설용공내역서)_공내역서_울산천곡설계비" xfId="1082" xr:uid="{00000000-0005-0000-0000-00002A040000}"/>
    <cellStyle name="_사전원가심의1_벤처오피스빌딩_대전가오(현설용공내역서)_공내역서_울산천곡설계비_공용부" xfId="1083" xr:uid="{00000000-0005-0000-0000-00002B040000}"/>
    <cellStyle name="_사전원가심의1_벤처오피스빌딩_대전가오(현설용공내역서)_공내역서_울산천곡설계비_공용부_공용부" xfId="1084" xr:uid="{00000000-0005-0000-0000-00002C040000}"/>
    <cellStyle name="_사전원가심의1_벤처오피스빌딩_대전가오(현설용공내역서)_공내역서_울산천곡설계비_공용부_공용부_공용부" xfId="1085" xr:uid="{00000000-0005-0000-0000-00002D040000}"/>
    <cellStyle name="_사전원가심의1_벤처오피스빌딩_대전가오(현설용공내역서)_공내역서_울산천곡설계비_광주운암내역서(현설용)" xfId="1086" xr:uid="{00000000-0005-0000-0000-00002E040000}"/>
    <cellStyle name="_사전원가심의1_벤처오피스빌딩_대전가오(현설용공내역서)_공내역서_울산천곡설계비_목포남악내역서" xfId="1087" xr:uid="{00000000-0005-0000-0000-00002F040000}"/>
    <cellStyle name="_사전원가심의1_벤처오피스빌딩_대전가오(현설용공내역서)_공내역서_울산천곡설계비_삼성동I'PARK스포츠센타 보수공사(제출)" xfId="1088" xr:uid="{00000000-0005-0000-0000-000030040000}"/>
    <cellStyle name="_사전원가심의1_벤처오피스빌딩_대전가오(현설용공내역서)_공내역서_울산천곡설계비_전기공사(추가)" xfId="1089" xr:uid="{00000000-0005-0000-0000-000031040000}"/>
    <cellStyle name="_사전원가심의1_벤처오피스빌딩_대전가오(현설용공내역서)_공내역서_울산천곡설계비_종로무악 MH공사(실행)" xfId="1090" xr:uid="{00000000-0005-0000-0000-000032040000}"/>
    <cellStyle name="_사전원가심의1_벤처오피스빌딩_대전가오(현설용공내역서)_공내역서_전기공사(추가)" xfId="1091" xr:uid="{00000000-0005-0000-0000-000033040000}"/>
    <cellStyle name="_사전원가심의1_벤처오피스빌딩_대전가오(현설용공내역서)_공내역서_종로무악 MH공사(실행)" xfId="1092" xr:uid="{00000000-0005-0000-0000-000034040000}"/>
    <cellStyle name="_사전원가심의1_벤처오피스빌딩_대전가오(현설용공내역서)_공용부" xfId="1093" xr:uid="{00000000-0005-0000-0000-000035040000}"/>
    <cellStyle name="_사전원가심의1_벤처오피스빌딩_대전가오(현설용공내역서)_공용부_공용부" xfId="1094" xr:uid="{00000000-0005-0000-0000-000036040000}"/>
    <cellStyle name="_사전원가심의1_벤처오피스빌딩_대전가오(현설용공내역서)_공용부_공용부_공용부" xfId="1095" xr:uid="{00000000-0005-0000-0000-000037040000}"/>
    <cellStyle name="_사전원가심의1_벤처오피스빌딩_대전가오(현설용공내역서)_광주운암내역서(현설용)" xfId="1096" xr:uid="{00000000-0005-0000-0000-000038040000}"/>
    <cellStyle name="_사전원가심의1_벤처오피스빌딩_대전가오(현설용공내역서)_목포남악내역서" xfId="1097" xr:uid="{00000000-0005-0000-0000-000039040000}"/>
    <cellStyle name="_사전원가심의1_벤처오피스빌딩_대전가오(현설용공내역서)_삼성동I'PARK스포츠센타 보수공사(제출)" xfId="1098" xr:uid="{00000000-0005-0000-0000-00003A040000}"/>
    <cellStyle name="_사전원가심의1_벤처오피스빌딩_대전가오(현설용공내역서)_울산천곡MH실행(재입찰)" xfId="1099" xr:uid="{00000000-0005-0000-0000-00003B040000}"/>
    <cellStyle name="_사전원가심의1_벤처오피스빌딩_대전가오(현설용공내역서)_울산천곡MH실행(재입찰)_공용부" xfId="1100" xr:uid="{00000000-0005-0000-0000-00003C040000}"/>
    <cellStyle name="_사전원가심의1_벤처오피스빌딩_대전가오(현설용공내역서)_울산천곡MH실행(재입찰)_공용부_공용부" xfId="1101" xr:uid="{00000000-0005-0000-0000-00003D040000}"/>
    <cellStyle name="_사전원가심의1_벤처오피스빌딩_대전가오(현설용공내역서)_울산천곡MH실행(재입찰)_공용부_공용부_공용부" xfId="1102" xr:uid="{00000000-0005-0000-0000-00003E040000}"/>
    <cellStyle name="_사전원가심의1_벤처오피스빌딩_대전가오(현설용공내역서)_울산천곡MH실행(재입찰)_광주운암내역서(현설용)" xfId="1103" xr:uid="{00000000-0005-0000-0000-00003F040000}"/>
    <cellStyle name="_사전원가심의1_벤처오피스빌딩_대전가오(현설용공내역서)_울산천곡MH실행(재입찰)_목포남악내역서" xfId="1104" xr:uid="{00000000-0005-0000-0000-000040040000}"/>
    <cellStyle name="_사전원가심의1_벤처오피스빌딩_대전가오(현설용공내역서)_울산천곡MH실행(재입찰)_삼성동I'PARK스포츠센타 보수공사(제출)" xfId="1105" xr:uid="{00000000-0005-0000-0000-000041040000}"/>
    <cellStyle name="_사전원가심의1_벤처오피스빌딩_대전가오(현설용공내역서)_울산천곡MH실행(재입찰)_전기공사(추가)" xfId="1106" xr:uid="{00000000-0005-0000-0000-000042040000}"/>
    <cellStyle name="_사전원가심의1_벤처오피스빌딩_대전가오(현설용공내역서)_울산천곡MH실행(재입찰)_종로무악 MH공사(실행)" xfId="1107" xr:uid="{00000000-0005-0000-0000-000043040000}"/>
    <cellStyle name="_사전원가심의1_벤처오피스빌딩_대전가오(현설용공내역서)_울산천곡설계비" xfId="1108" xr:uid="{00000000-0005-0000-0000-000044040000}"/>
    <cellStyle name="_사전원가심의1_벤처오피스빌딩_대전가오(현설용공내역서)_울산천곡설계비_공용부" xfId="1109" xr:uid="{00000000-0005-0000-0000-000045040000}"/>
    <cellStyle name="_사전원가심의1_벤처오피스빌딩_대전가오(현설용공내역서)_울산천곡설계비_공용부_공용부" xfId="1110" xr:uid="{00000000-0005-0000-0000-000046040000}"/>
    <cellStyle name="_사전원가심의1_벤처오피스빌딩_대전가오(현설용공내역서)_울산천곡설계비_공용부_공용부_공용부" xfId="1111" xr:uid="{00000000-0005-0000-0000-000047040000}"/>
    <cellStyle name="_사전원가심의1_벤처오피스빌딩_대전가오(현설용공내역서)_울산천곡설계비_광주운암내역서(현설용)" xfId="1112" xr:uid="{00000000-0005-0000-0000-000048040000}"/>
    <cellStyle name="_사전원가심의1_벤처오피스빌딩_대전가오(현설용공내역서)_울산천곡설계비_목포남악내역서" xfId="1113" xr:uid="{00000000-0005-0000-0000-000049040000}"/>
    <cellStyle name="_사전원가심의1_벤처오피스빌딩_대전가오(현설용공내역서)_울산천곡설계비_삼성동I'PARK스포츠센타 보수공사(제출)" xfId="1114" xr:uid="{00000000-0005-0000-0000-00004A040000}"/>
    <cellStyle name="_사전원가심의1_벤처오피스빌딩_대전가오(현설용공내역서)_울산천곡설계비_전기공사(추가)" xfId="1115" xr:uid="{00000000-0005-0000-0000-00004B040000}"/>
    <cellStyle name="_사전원가심의1_벤처오피스빌딩_대전가오(현설용공내역서)_울산천곡설계비_종로무악 MH공사(실행)" xfId="1116" xr:uid="{00000000-0005-0000-0000-00004C040000}"/>
    <cellStyle name="_사전원가심의1_벤처오피스빌딩_대전가오(현설용공내역서)_전기공사(추가)" xfId="1117" xr:uid="{00000000-0005-0000-0000-00004D040000}"/>
    <cellStyle name="_사전원가심의1_벤처오피스빌딩_대전가오(현설용공내역서)_종로무악 MH공사(실행)" xfId="1118" xr:uid="{00000000-0005-0000-0000-00004E040000}"/>
    <cellStyle name="_사전원가심의1_벤처오피스빌딩_목포남악내역서" xfId="1119" xr:uid="{00000000-0005-0000-0000-00004F040000}"/>
    <cellStyle name="_사전원가심의1_벤처오피스빌딩_삼성동I'PARK스포츠센타 보수공사(제출)" xfId="1120" xr:uid="{00000000-0005-0000-0000-000050040000}"/>
    <cellStyle name="_사전원가심의1_벤처오피스빌딩_실행" xfId="1121" xr:uid="{00000000-0005-0000-0000-000051040000}"/>
    <cellStyle name="_사전원가심의1_벤처오피스빌딩_실행_경희대치과대학" xfId="1122" xr:uid="{00000000-0005-0000-0000-000052040000}"/>
    <cellStyle name="_사전원가심의1_벤처오피스빌딩_실행_경희대치과대학_공용부" xfId="1123" xr:uid="{00000000-0005-0000-0000-000053040000}"/>
    <cellStyle name="_사전원가심의1_벤처오피스빌딩_실행_경희대치과대학_공용부_공용부" xfId="1124" xr:uid="{00000000-0005-0000-0000-000054040000}"/>
    <cellStyle name="_사전원가심의1_벤처오피스빌딩_실행_경희대치과대학_공용부_공용부_공용부" xfId="1125" xr:uid="{00000000-0005-0000-0000-000055040000}"/>
    <cellStyle name="_사전원가심의1_벤처오피스빌딩_실행_경희대치과대학_광주운암내역서(현설용)" xfId="1126" xr:uid="{00000000-0005-0000-0000-000056040000}"/>
    <cellStyle name="_사전원가심의1_벤처오피스빌딩_실행_경희대치과대학_목포남악내역서" xfId="1127" xr:uid="{00000000-0005-0000-0000-000057040000}"/>
    <cellStyle name="_사전원가심의1_벤처오피스빌딩_실행_경희대치과대학_삼성동I'PARK스포츠센타 보수공사(제출)" xfId="1128" xr:uid="{00000000-0005-0000-0000-000058040000}"/>
    <cellStyle name="_사전원가심의1_벤처오피스빌딩_실행_경희대치과대학_전기공사(추가)" xfId="1129" xr:uid="{00000000-0005-0000-0000-000059040000}"/>
    <cellStyle name="_사전원가심의1_벤처오피스빌딩_실행_경희대치과대학_종로무악 MH공사(실행)" xfId="1130" xr:uid="{00000000-0005-0000-0000-00005A040000}"/>
    <cellStyle name="_사전원가심의1_벤처오피스빌딩_실행_공용부" xfId="1131" xr:uid="{00000000-0005-0000-0000-00005B040000}"/>
    <cellStyle name="_사전원가심의1_벤처오피스빌딩_실행_공용부_공용부" xfId="1132" xr:uid="{00000000-0005-0000-0000-00005C040000}"/>
    <cellStyle name="_사전원가심의1_벤처오피스빌딩_실행_공용부_공용부_공용부" xfId="1133" xr:uid="{00000000-0005-0000-0000-00005D040000}"/>
    <cellStyle name="_사전원가심의1_벤처오피스빌딩_실행_광주운암내역서(현설용)" xfId="1134" xr:uid="{00000000-0005-0000-0000-00005E040000}"/>
    <cellStyle name="_사전원가심의1_벤처오피스빌딩_실행_목포남악내역서" xfId="1135" xr:uid="{00000000-0005-0000-0000-00005F040000}"/>
    <cellStyle name="_사전원가심의1_벤처오피스빌딩_실행_삼성동I'PARK스포츠센타 보수공사(제출)" xfId="1136" xr:uid="{00000000-0005-0000-0000-000060040000}"/>
    <cellStyle name="_사전원가심의1_벤처오피스빌딩_실행_울산천곡MH실행(재입찰)" xfId="1137" xr:uid="{00000000-0005-0000-0000-000061040000}"/>
    <cellStyle name="_사전원가심의1_벤처오피스빌딩_실행_울산천곡MH실행(재입찰)_공용부" xfId="1138" xr:uid="{00000000-0005-0000-0000-000062040000}"/>
    <cellStyle name="_사전원가심의1_벤처오피스빌딩_실행_울산천곡MH실행(재입찰)_공용부_공용부" xfId="1139" xr:uid="{00000000-0005-0000-0000-000063040000}"/>
    <cellStyle name="_사전원가심의1_벤처오피스빌딩_실행_울산천곡MH실행(재입찰)_공용부_공용부_공용부" xfId="1140" xr:uid="{00000000-0005-0000-0000-000064040000}"/>
    <cellStyle name="_사전원가심의1_벤처오피스빌딩_실행_울산천곡MH실행(재입찰)_광주운암내역서(현설용)" xfId="1141" xr:uid="{00000000-0005-0000-0000-000065040000}"/>
    <cellStyle name="_사전원가심의1_벤처오피스빌딩_실행_울산천곡MH실행(재입찰)_목포남악내역서" xfId="1142" xr:uid="{00000000-0005-0000-0000-000066040000}"/>
    <cellStyle name="_사전원가심의1_벤처오피스빌딩_실행_울산천곡MH실행(재입찰)_삼성동I'PARK스포츠센타 보수공사(제출)" xfId="1143" xr:uid="{00000000-0005-0000-0000-000067040000}"/>
    <cellStyle name="_사전원가심의1_벤처오피스빌딩_실행_울산천곡MH실행(재입찰)_전기공사(추가)" xfId="1144" xr:uid="{00000000-0005-0000-0000-000068040000}"/>
    <cellStyle name="_사전원가심의1_벤처오피스빌딩_실행_울산천곡MH실행(재입찰)_종로무악 MH공사(실행)" xfId="1145" xr:uid="{00000000-0005-0000-0000-000069040000}"/>
    <cellStyle name="_사전원가심의1_벤처오피스빌딩_실행_울산천곡설계비" xfId="1146" xr:uid="{00000000-0005-0000-0000-00006A040000}"/>
    <cellStyle name="_사전원가심의1_벤처오피스빌딩_실행_울산천곡설계비_공용부" xfId="1147" xr:uid="{00000000-0005-0000-0000-00006B040000}"/>
    <cellStyle name="_사전원가심의1_벤처오피스빌딩_실행_울산천곡설계비_공용부_공용부" xfId="1148" xr:uid="{00000000-0005-0000-0000-00006C040000}"/>
    <cellStyle name="_사전원가심의1_벤처오피스빌딩_실행_울산천곡설계비_공용부_공용부_공용부" xfId="1149" xr:uid="{00000000-0005-0000-0000-00006D040000}"/>
    <cellStyle name="_사전원가심의1_벤처오피스빌딩_실행_울산천곡설계비_광주운암내역서(현설용)" xfId="1150" xr:uid="{00000000-0005-0000-0000-00006E040000}"/>
    <cellStyle name="_사전원가심의1_벤처오피스빌딩_실행_울산천곡설계비_목포남악내역서" xfId="1151" xr:uid="{00000000-0005-0000-0000-00006F040000}"/>
    <cellStyle name="_사전원가심의1_벤처오피스빌딩_실행_울산천곡설계비_삼성동I'PARK스포츠센타 보수공사(제출)" xfId="1152" xr:uid="{00000000-0005-0000-0000-000070040000}"/>
    <cellStyle name="_사전원가심의1_벤처오피스빌딩_실행_울산천곡설계비_전기공사(추가)" xfId="1153" xr:uid="{00000000-0005-0000-0000-000071040000}"/>
    <cellStyle name="_사전원가심의1_벤처오피스빌딩_실행_울산천곡설계비_종로무악 MH공사(실행)" xfId="1154" xr:uid="{00000000-0005-0000-0000-000072040000}"/>
    <cellStyle name="_사전원가심의1_벤처오피스빌딩_실행_전기공사(추가)" xfId="1155" xr:uid="{00000000-0005-0000-0000-000073040000}"/>
    <cellStyle name="_사전원가심의1_벤처오피스빌딩_실행_종로무악 MH공사(실행)" xfId="1156" xr:uid="{00000000-0005-0000-0000-000074040000}"/>
    <cellStyle name="_사전원가심의1_벤처오피스빌딩_예가" xfId="1157" xr:uid="{00000000-0005-0000-0000-000075040000}"/>
    <cellStyle name="_사전원가심의1_벤처오피스빌딩_예가_경희대치과대학" xfId="1158" xr:uid="{00000000-0005-0000-0000-000076040000}"/>
    <cellStyle name="_사전원가심의1_벤처오피스빌딩_예가_경희대치과대학_공용부" xfId="1159" xr:uid="{00000000-0005-0000-0000-000077040000}"/>
    <cellStyle name="_사전원가심의1_벤처오피스빌딩_예가_경희대치과대학_공용부_공용부" xfId="1160" xr:uid="{00000000-0005-0000-0000-000078040000}"/>
    <cellStyle name="_사전원가심의1_벤처오피스빌딩_예가_경희대치과대학_공용부_공용부_공용부" xfId="1161" xr:uid="{00000000-0005-0000-0000-000079040000}"/>
    <cellStyle name="_사전원가심의1_벤처오피스빌딩_예가_경희대치과대학_광주운암내역서(현설용)" xfId="1162" xr:uid="{00000000-0005-0000-0000-00007A040000}"/>
    <cellStyle name="_사전원가심의1_벤처오피스빌딩_예가_경희대치과대학_목포남악내역서" xfId="1163" xr:uid="{00000000-0005-0000-0000-00007B040000}"/>
    <cellStyle name="_사전원가심의1_벤처오피스빌딩_예가_경희대치과대학_삼성동I'PARK스포츠센타 보수공사(제출)" xfId="1164" xr:uid="{00000000-0005-0000-0000-00007C040000}"/>
    <cellStyle name="_사전원가심의1_벤처오피스빌딩_예가_경희대치과대학_전기공사(추가)" xfId="1165" xr:uid="{00000000-0005-0000-0000-00007D040000}"/>
    <cellStyle name="_사전원가심의1_벤처오피스빌딩_예가_경희대치과대학_종로무악 MH공사(실행)" xfId="1166" xr:uid="{00000000-0005-0000-0000-00007E040000}"/>
    <cellStyle name="_사전원가심의1_벤처오피스빌딩_예가_공용부" xfId="1167" xr:uid="{00000000-0005-0000-0000-00007F040000}"/>
    <cellStyle name="_사전원가심의1_벤처오피스빌딩_예가_공용부_공용부" xfId="1168" xr:uid="{00000000-0005-0000-0000-000080040000}"/>
    <cellStyle name="_사전원가심의1_벤처오피스빌딩_예가_공용부_공용부_공용부" xfId="1169" xr:uid="{00000000-0005-0000-0000-000081040000}"/>
    <cellStyle name="_사전원가심의1_벤처오피스빌딩_예가_광주운암내역서(현설용)" xfId="1170" xr:uid="{00000000-0005-0000-0000-000082040000}"/>
    <cellStyle name="_사전원가심의1_벤처오피스빌딩_예가_목포남악내역서" xfId="1171" xr:uid="{00000000-0005-0000-0000-000083040000}"/>
    <cellStyle name="_사전원가심의1_벤처오피스빌딩_예가_삼성동I'PARK스포츠센타 보수공사(제출)" xfId="1172" xr:uid="{00000000-0005-0000-0000-000084040000}"/>
    <cellStyle name="_사전원가심의1_벤처오피스빌딩_예가_울산천곡MH실행(재입찰)" xfId="1173" xr:uid="{00000000-0005-0000-0000-000085040000}"/>
    <cellStyle name="_사전원가심의1_벤처오피스빌딩_예가_울산천곡MH실행(재입찰)_공용부" xfId="1174" xr:uid="{00000000-0005-0000-0000-000086040000}"/>
    <cellStyle name="_사전원가심의1_벤처오피스빌딩_예가_울산천곡MH실행(재입찰)_공용부_공용부" xfId="1175" xr:uid="{00000000-0005-0000-0000-000087040000}"/>
    <cellStyle name="_사전원가심의1_벤처오피스빌딩_예가_울산천곡MH실행(재입찰)_공용부_공용부_공용부" xfId="1176" xr:uid="{00000000-0005-0000-0000-000088040000}"/>
    <cellStyle name="_사전원가심의1_벤처오피스빌딩_예가_울산천곡MH실행(재입찰)_광주운암내역서(현설용)" xfId="1177" xr:uid="{00000000-0005-0000-0000-000089040000}"/>
    <cellStyle name="_사전원가심의1_벤처오피스빌딩_예가_울산천곡MH실행(재입찰)_목포남악내역서" xfId="1178" xr:uid="{00000000-0005-0000-0000-00008A040000}"/>
    <cellStyle name="_사전원가심의1_벤처오피스빌딩_예가_울산천곡MH실행(재입찰)_삼성동I'PARK스포츠센타 보수공사(제출)" xfId="1179" xr:uid="{00000000-0005-0000-0000-00008B040000}"/>
    <cellStyle name="_사전원가심의1_벤처오피스빌딩_예가_울산천곡MH실행(재입찰)_전기공사(추가)" xfId="1180" xr:uid="{00000000-0005-0000-0000-00008C040000}"/>
    <cellStyle name="_사전원가심의1_벤처오피스빌딩_예가_울산천곡MH실행(재입찰)_종로무악 MH공사(실행)" xfId="1181" xr:uid="{00000000-0005-0000-0000-00008D040000}"/>
    <cellStyle name="_사전원가심의1_벤처오피스빌딩_예가_울산천곡설계비" xfId="1182" xr:uid="{00000000-0005-0000-0000-00008E040000}"/>
    <cellStyle name="_사전원가심의1_벤처오피스빌딩_예가_울산천곡설계비_공용부" xfId="1183" xr:uid="{00000000-0005-0000-0000-00008F040000}"/>
    <cellStyle name="_사전원가심의1_벤처오피스빌딩_예가_울산천곡설계비_공용부_공용부" xfId="1184" xr:uid="{00000000-0005-0000-0000-000090040000}"/>
    <cellStyle name="_사전원가심의1_벤처오피스빌딩_예가_울산천곡설계비_공용부_공용부_공용부" xfId="1185" xr:uid="{00000000-0005-0000-0000-000091040000}"/>
    <cellStyle name="_사전원가심의1_벤처오피스빌딩_예가_울산천곡설계비_광주운암내역서(현설용)" xfId="1186" xr:uid="{00000000-0005-0000-0000-000092040000}"/>
    <cellStyle name="_사전원가심의1_벤처오피스빌딩_예가_울산천곡설계비_목포남악내역서" xfId="1187" xr:uid="{00000000-0005-0000-0000-000093040000}"/>
    <cellStyle name="_사전원가심의1_벤처오피스빌딩_예가_울산천곡설계비_삼성동I'PARK스포츠센타 보수공사(제출)" xfId="1188" xr:uid="{00000000-0005-0000-0000-000094040000}"/>
    <cellStyle name="_사전원가심의1_벤처오피스빌딩_예가_울산천곡설계비_전기공사(추가)" xfId="1189" xr:uid="{00000000-0005-0000-0000-000095040000}"/>
    <cellStyle name="_사전원가심의1_벤처오피스빌딩_예가_울산천곡설계비_종로무악 MH공사(실행)" xfId="1190" xr:uid="{00000000-0005-0000-0000-000096040000}"/>
    <cellStyle name="_사전원가심의1_벤처오피스빌딩_예가_전기공사(추가)" xfId="1191" xr:uid="{00000000-0005-0000-0000-000097040000}"/>
    <cellStyle name="_사전원가심의1_벤처오피스빌딩_예가_종로무악 MH공사(실행)" xfId="1192" xr:uid="{00000000-0005-0000-0000-000098040000}"/>
    <cellStyle name="_사전원가심의1_벤처오피스빌딩_울산천곡MH실행(재입찰)" xfId="1193" xr:uid="{00000000-0005-0000-0000-000099040000}"/>
    <cellStyle name="_사전원가심의1_벤처오피스빌딩_울산천곡MH실행(재입찰)_공용부" xfId="1194" xr:uid="{00000000-0005-0000-0000-00009A040000}"/>
    <cellStyle name="_사전원가심의1_벤처오피스빌딩_울산천곡MH실행(재입찰)_공용부_공용부" xfId="1195" xr:uid="{00000000-0005-0000-0000-00009B040000}"/>
    <cellStyle name="_사전원가심의1_벤처오피스빌딩_울산천곡MH실행(재입찰)_공용부_공용부_공용부" xfId="1196" xr:uid="{00000000-0005-0000-0000-00009C040000}"/>
    <cellStyle name="_사전원가심의1_벤처오피스빌딩_울산천곡MH실행(재입찰)_광주운암내역서(현설용)" xfId="1197" xr:uid="{00000000-0005-0000-0000-00009D040000}"/>
    <cellStyle name="_사전원가심의1_벤처오피스빌딩_울산천곡MH실행(재입찰)_목포남악내역서" xfId="1198" xr:uid="{00000000-0005-0000-0000-00009E040000}"/>
    <cellStyle name="_사전원가심의1_벤처오피스빌딩_울산천곡MH실행(재입찰)_삼성동I'PARK스포츠센타 보수공사(제출)" xfId="1199" xr:uid="{00000000-0005-0000-0000-00009F040000}"/>
    <cellStyle name="_사전원가심의1_벤처오피스빌딩_울산천곡MH실행(재입찰)_전기공사(추가)" xfId="1200" xr:uid="{00000000-0005-0000-0000-0000A0040000}"/>
    <cellStyle name="_사전원가심의1_벤처오피스빌딩_울산천곡MH실행(재입찰)_종로무악 MH공사(실행)" xfId="1201" xr:uid="{00000000-0005-0000-0000-0000A1040000}"/>
    <cellStyle name="_사전원가심의1_벤처오피스빌딩_울산천곡동" xfId="1202" xr:uid="{00000000-0005-0000-0000-0000A2040000}"/>
    <cellStyle name="_사전원가심의1_벤처오피스빌딩_울산천곡동(0920공내역서)" xfId="1203" xr:uid="{00000000-0005-0000-0000-0000A3040000}"/>
    <cellStyle name="_사전원가심의1_벤처오피스빌딩_울산천곡동(0920공내역서)_경희대치과대학" xfId="1204" xr:uid="{00000000-0005-0000-0000-0000A4040000}"/>
    <cellStyle name="_사전원가심의1_벤처오피스빌딩_울산천곡동(0920공내역서)_경희대치과대학_공용부" xfId="1205" xr:uid="{00000000-0005-0000-0000-0000A5040000}"/>
    <cellStyle name="_사전원가심의1_벤처오피스빌딩_울산천곡동(0920공내역서)_경희대치과대학_공용부_공용부" xfId="1206" xr:uid="{00000000-0005-0000-0000-0000A6040000}"/>
    <cellStyle name="_사전원가심의1_벤처오피스빌딩_울산천곡동(0920공내역서)_경희대치과대학_공용부_공용부_공용부" xfId="1207" xr:uid="{00000000-0005-0000-0000-0000A7040000}"/>
    <cellStyle name="_사전원가심의1_벤처오피스빌딩_울산천곡동(0920공내역서)_경희대치과대학_광주운암내역서(현설용)" xfId="1208" xr:uid="{00000000-0005-0000-0000-0000A8040000}"/>
    <cellStyle name="_사전원가심의1_벤처오피스빌딩_울산천곡동(0920공내역서)_경희대치과대학_목포남악내역서" xfId="1209" xr:uid="{00000000-0005-0000-0000-0000A9040000}"/>
    <cellStyle name="_사전원가심의1_벤처오피스빌딩_울산천곡동(0920공내역서)_경희대치과대학_삼성동I'PARK스포츠센타 보수공사(제출)" xfId="1210" xr:uid="{00000000-0005-0000-0000-0000AA040000}"/>
    <cellStyle name="_사전원가심의1_벤처오피스빌딩_울산천곡동(0920공내역서)_경희대치과대학_전기공사(추가)" xfId="1211" xr:uid="{00000000-0005-0000-0000-0000AB040000}"/>
    <cellStyle name="_사전원가심의1_벤처오피스빌딩_울산천곡동(0920공내역서)_경희대치과대학_종로무악 MH공사(실행)" xfId="1212" xr:uid="{00000000-0005-0000-0000-0000AC040000}"/>
    <cellStyle name="_사전원가심의1_벤처오피스빌딩_울산천곡동(0920공내역서)_공내역서" xfId="1213" xr:uid="{00000000-0005-0000-0000-0000AD040000}"/>
    <cellStyle name="_사전원가심의1_벤처오피스빌딩_울산천곡동(0920공내역서)_공내역서_경희대치과대학" xfId="1214" xr:uid="{00000000-0005-0000-0000-0000AE040000}"/>
    <cellStyle name="_사전원가심의1_벤처오피스빌딩_울산천곡동(0920공내역서)_공내역서_경희대치과대학_공용부" xfId="1215" xr:uid="{00000000-0005-0000-0000-0000AF040000}"/>
    <cellStyle name="_사전원가심의1_벤처오피스빌딩_울산천곡동(0920공내역서)_공내역서_경희대치과대학_공용부_공용부" xfId="1216" xr:uid="{00000000-0005-0000-0000-0000B0040000}"/>
    <cellStyle name="_사전원가심의1_벤처오피스빌딩_울산천곡동(0920공내역서)_공내역서_경희대치과대학_공용부_공용부_공용부" xfId="1217" xr:uid="{00000000-0005-0000-0000-0000B1040000}"/>
    <cellStyle name="_사전원가심의1_벤처오피스빌딩_울산천곡동(0920공내역서)_공내역서_경희대치과대학_광주운암내역서(현설용)" xfId="1218" xr:uid="{00000000-0005-0000-0000-0000B2040000}"/>
    <cellStyle name="_사전원가심의1_벤처오피스빌딩_울산천곡동(0920공내역서)_공내역서_경희대치과대학_목포남악내역서" xfId="1219" xr:uid="{00000000-0005-0000-0000-0000B3040000}"/>
    <cellStyle name="_사전원가심의1_벤처오피스빌딩_울산천곡동(0920공내역서)_공내역서_경희대치과대학_삼성동I'PARK스포츠센타 보수공사(제출)" xfId="1220" xr:uid="{00000000-0005-0000-0000-0000B4040000}"/>
    <cellStyle name="_사전원가심의1_벤처오피스빌딩_울산천곡동(0920공내역서)_공내역서_경희대치과대학_전기공사(추가)" xfId="1221" xr:uid="{00000000-0005-0000-0000-0000B5040000}"/>
    <cellStyle name="_사전원가심의1_벤처오피스빌딩_울산천곡동(0920공내역서)_공내역서_경희대치과대학_종로무악 MH공사(실행)" xfId="1222" xr:uid="{00000000-0005-0000-0000-0000B6040000}"/>
    <cellStyle name="_사전원가심의1_벤처오피스빌딩_울산천곡동(0920공내역서)_공내역서_공용부" xfId="1223" xr:uid="{00000000-0005-0000-0000-0000B7040000}"/>
    <cellStyle name="_사전원가심의1_벤처오피스빌딩_울산천곡동(0920공내역서)_공내역서_공용부_공용부" xfId="1224" xr:uid="{00000000-0005-0000-0000-0000B8040000}"/>
    <cellStyle name="_사전원가심의1_벤처오피스빌딩_울산천곡동(0920공내역서)_공내역서_공용부_공용부_공용부" xfId="1225" xr:uid="{00000000-0005-0000-0000-0000B9040000}"/>
    <cellStyle name="_사전원가심의1_벤처오피스빌딩_울산천곡동(0920공내역서)_공내역서_광주운암내역서(현설용)" xfId="1226" xr:uid="{00000000-0005-0000-0000-0000BA040000}"/>
    <cellStyle name="_사전원가심의1_벤처오피스빌딩_울산천곡동(0920공내역서)_공내역서_목포남악내역서" xfId="1227" xr:uid="{00000000-0005-0000-0000-0000BB040000}"/>
    <cellStyle name="_사전원가심의1_벤처오피스빌딩_울산천곡동(0920공내역서)_공내역서_삼성동I'PARK스포츠센타 보수공사(제출)" xfId="1228" xr:uid="{00000000-0005-0000-0000-0000BC040000}"/>
    <cellStyle name="_사전원가심의1_벤처오피스빌딩_울산천곡동(0920공내역서)_공내역서_울산천곡MH실행(재입찰)" xfId="1229" xr:uid="{00000000-0005-0000-0000-0000BD040000}"/>
    <cellStyle name="_사전원가심의1_벤처오피스빌딩_울산천곡동(0920공내역서)_공내역서_울산천곡MH실행(재입찰)_공용부" xfId="1230" xr:uid="{00000000-0005-0000-0000-0000BE040000}"/>
    <cellStyle name="_사전원가심의1_벤처오피스빌딩_울산천곡동(0920공내역서)_공내역서_울산천곡MH실행(재입찰)_공용부_공용부" xfId="1231" xr:uid="{00000000-0005-0000-0000-0000BF040000}"/>
    <cellStyle name="_사전원가심의1_벤처오피스빌딩_울산천곡동(0920공내역서)_공내역서_울산천곡MH실행(재입찰)_공용부_공용부_공용부" xfId="1232" xr:uid="{00000000-0005-0000-0000-0000C0040000}"/>
    <cellStyle name="_사전원가심의1_벤처오피스빌딩_울산천곡동(0920공내역서)_공내역서_울산천곡MH실행(재입찰)_광주운암내역서(현설용)" xfId="1233" xr:uid="{00000000-0005-0000-0000-0000C1040000}"/>
    <cellStyle name="_사전원가심의1_벤처오피스빌딩_울산천곡동(0920공내역서)_공내역서_울산천곡MH실행(재입찰)_목포남악내역서" xfId="1234" xr:uid="{00000000-0005-0000-0000-0000C2040000}"/>
    <cellStyle name="_사전원가심의1_벤처오피스빌딩_울산천곡동(0920공내역서)_공내역서_울산천곡MH실행(재입찰)_삼성동I'PARK스포츠센타 보수공사(제출)" xfId="1235" xr:uid="{00000000-0005-0000-0000-0000C3040000}"/>
    <cellStyle name="_사전원가심의1_벤처오피스빌딩_울산천곡동(0920공내역서)_공내역서_울산천곡MH실행(재입찰)_전기공사(추가)" xfId="1236" xr:uid="{00000000-0005-0000-0000-0000C4040000}"/>
    <cellStyle name="_사전원가심의1_벤처오피스빌딩_울산천곡동(0920공내역서)_공내역서_울산천곡MH실행(재입찰)_종로무악 MH공사(실행)" xfId="1237" xr:uid="{00000000-0005-0000-0000-0000C5040000}"/>
    <cellStyle name="_사전원가심의1_벤처오피스빌딩_울산천곡동(0920공내역서)_공내역서_울산천곡설계비" xfId="1238" xr:uid="{00000000-0005-0000-0000-0000C6040000}"/>
    <cellStyle name="_사전원가심의1_벤처오피스빌딩_울산천곡동(0920공내역서)_공내역서_울산천곡설계비_공용부" xfId="1239" xr:uid="{00000000-0005-0000-0000-0000C7040000}"/>
    <cellStyle name="_사전원가심의1_벤처오피스빌딩_울산천곡동(0920공내역서)_공내역서_울산천곡설계비_공용부_공용부" xfId="1240" xr:uid="{00000000-0005-0000-0000-0000C8040000}"/>
    <cellStyle name="_사전원가심의1_벤처오피스빌딩_울산천곡동(0920공내역서)_공내역서_울산천곡설계비_공용부_공용부_공용부" xfId="1241" xr:uid="{00000000-0005-0000-0000-0000C9040000}"/>
    <cellStyle name="_사전원가심의1_벤처오피스빌딩_울산천곡동(0920공내역서)_공내역서_울산천곡설계비_광주운암내역서(현설용)" xfId="1242" xr:uid="{00000000-0005-0000-0000-0000CA040000}"/>
    <cellStyle name="_사전원가심의1_벤처오피스빌딩_울산천곡동(0920공내역서)_공내역서_울산천곡설계비_목포남악내역서" xfId="1243" xr:uid="{00000000-0005-0000-0000-0000CB040000}"/>
    <cellStyle name="_사전원가심의1_벤처오피스빌딩_울산천곡동(0920공내역서)_공내역서_울산천곡설계비_삼성동I'PARK스포츠센타 보수공사(제출)" xfId="1244" xr:uid="{00000000-0005-0000-0000-0000CC040000}"/>
    <cellStyle name="_사전원가심의1_벤처오피스빌딩_울산천곡동(0920공내역서)_공내역서_울산천곡설계비_전기공사(추가)" xfId="1245" xr:uid="{00000000-0005-0000-0000-0000CD040000}"/>
    <cellStyle name="_사전원가심의1_벤처오피스빌딩_울산천곡동(0920공내역서)_공내역서_울산천곡설계비_종로무악 MH공사(실행)" xfId="1246" xr:uid="{00000000-0005-0000-0000-0000CE040000}"/>
    <cellStyle name="_사전원가심의1_벤처오피스빌딩_울산천곡동(0920공내역서)_공내역서_전기공사(추가)" xfId="1247" xr:uid="{00000000-0005-0000-0000-0000CF040000}"/>
    <cellStyle name="_사전원가심의1_벤처오피스빌딩_울산천곡동(0920공내역서)_공내역서_종로무악 MH공사(실행)" xfId="1248" xr:uid="{00000000-0005-0000-0000-0000D0040000}"/>
    <cellStyle name="_사전원가심의1_벤처오피스빌딩_울산천곡동(0920공내역서)_공용부" xfId="1249" xr:uid="{00000000-0005-0000-0000-0000D1040000}"/>
    <cellStyle name="_사전원가심의1_벤처오피스빌딩_울산천곡동(0920공내역서)_공용부_공용부" xfId="1250" xr:uid="{00000000-0005-0000-0000-0000D2040000}"/>
    <cellStyle name="_사전원가심의1_벤처오피스빌딩_울산천곡동(0920공내역서)_공용부_공용부_공용부" xfId="1251" xr:uid="{00000000-0005-0000-0000-0000D3040000}"/>
    <cellStyle name="_사전원가심의1_벤처오피스빌딩_울산천곡동(0920공내역서)_광주운암내역서(현설용)" xfId="1252" xr:uid="{00000000-0005-0000-0000-0000D4040000}"/>
    <cellStyle name="_사전원가심의1_벤처오피스빌딩_울산천곡동(0920공내역서)_목포남악내역서" xfId="1253" xr:uid="{00000000-0005-0000-0000-0000D5040000}"/>
    <cellStyle name="_사전원가심의1_벤처오피스빌딩_울산천곡동(0920공내역서)_삼성동I'PARK스포츠센타 보수공사(제출)" xfId="1254" xr:uid="{00000000-0005-0000-0000-0000D6040000}"/>
    <cellStyle name="_사전원가심의1_벤처오피스빌딩_울산천곡동(0920공내역서)_울산천곡MH실행(재입찰)" xfId="1255" xr:uid="{00000000-0005-0000-0000-0000D7040000}"/>
    <cellStyle name="_사전원가심의1_벤처오피스빌딩_울산천곡동(0920공내역서)_울산천곡MH실행(재입찰)_공용부" xfId="1256" xr:uid="{00000000-0005-0000-0000-0000D8040000}"/>
    <cellStyle name="_사전원가심의1_벤처오피스빌딩_울산천곡동(0920공내역서)_울산천곡MH실행(재입찰)_공용부_공용부" xfId="1257" xr:uid="{00000000-0005-0000-0000-0000D9040000}"/>
    <cellStyle name="_사전원가심의1_벤처오피스빌딩_울산천곡동(0920공내역서)_울산천곡MH실행(재입찰)_공용부_공용부_공용부" xfId="1258" xr:uid="{00000000-0005-0000-0000-0000DA040000}"/>
    <cellStyle name="_사전원가심의1_벤처오피스빌딩_울산천곡동(0920공내역서)_울산천곡MH실행(재입찰)_광주운암내역서(현설용)" xfId="1259" xr:uid="{00000000-0005-0000-0000-0000DB040000}"/>
    <cellStyle name="_사전원가심의1_벤처오피스빌딩_울산천곡동(0920공내역서)_울산천곡MH실행(재입찰)_목포남악내역서" xfId="1260" xr:uid="{00000000-0005-0000-0000-0000DC040000}"/>
    <cellStyle name="_사전원가심의1_벤처오피스빌딩_울산천곡동(0920공내역서)_울산천곡MH실행(재입찰)_삼성동I'PARK스포츠센타 보수공사(제출)" xfId="1261" xr:uid="{00000000-0005-0000-0000-0000DD040000}"/>
    <cellStyle name="_사전원가심의1_벤처오피스빌딩_울산천곡동(0920공내역서)_울산천곡MH실행(재입찰)_전기공사(추가)" xfId="1262" xr:uid="{00000000-0005-0000-0000-0000DE040000}"/>
    <cellStyle name="_사전원가심의1_벤처오피스빌딩_울산천곡동(0920공내역서)_울산천곡MH실행(재입찰)_종로무악 MH공사(실행)" xfId="1263" xr:uid="{00000000-0005-0000-0000-0000DF040000}"/>
    <cellStyle name="_사전원가심의1_벤처오피스빌딩_울산천곡동(0920공내역서)_울산천곡설계비" xfId="1264" xr:uid="{00000000-0005-0000-0000-0000E0040000}"/>
    <cellStyle name="_사전원가심의1_벤처오피스빌딩_울산천곡동(0920공내역서)_울산천곡설계비_공용부" xfId="1265" xr:uid="{00000000-0005-0000-0000-0000E1040000}"/>
    <cellStyle name="_사전원가심의1_벤처오피스빌딩_울산천곡동(0920공내역서)_울산천곡설계비_공용부_공용부" xfId="1266" xr:uid="{00000000-0005-0000-0000-0000E2040000}"/>
    <cellStyle name="_사전원가심의1_벤처오피스빌딩_울산천곡동(0920공내역서)_울산천곡설계비_공용부_공용부_공용부" xfId="1267" xr:uid="{00000000-0005-0000-0000-0000E3040000}"/>
    <cellStyle name="_사전원가심의1_벤처오피스빌딩_울산천곡동(0920공내역서)_울산천곡설계비_광주운암내역서(현설용)" xfId="1268" xr:uid="{00000000-0005-0000-0000-0000E4040000}"/>
    <cellStyle name="_사전원가심의1_벤처오피스빌딩_울산천곡동(0920공내역서)_울산천곡설계비_목포남악내역서" xfId="1269" xr:uid="{00000000-0005-0000-0000-0000E5040000}"/>
    <cellStyle name="_사전원가심의1_벤처오피스빌딩_울산천곡동(0920공내역서)_울산천곡설계비_삼성동I'PARK스포츠센타 보수공사(제출)" xfId="1270" xr:uid="{00000000-0005-0000-0000-0000E6040000}"/>
    <cellStyle name="_사전원가심의1_벤처오피스빌딩_울산천곡동(0920공내역서)_울산천곡설계비_전기공사(추가)" xfId="1271" xr:uid="{00000000-0005-0000-0000-0000E7040000}"/>
    <cellStyle name="_사전원가심의1_벤처오피스빌딩_울산천곡동(0920공내역서)_울산천곡설계비_종로무악 MH공사(실행)" xfId="1272" xr:uid="{00000000-0005-0000-0000-0000E8040000}"/>
    <cellStyle name="_사전원가심의1_벤처오피스빌딩_울산천곡동(0920공내역서)_전기공사(추가)" xfId="1273" xr:uid="{00000000-0005-0000-0000-0000E9040000}"/>
    <cellStyle name="_사전원가심의1_벤처오피스빌딩_울산천곡동(0920공내역서)_종로무악 MH공사(실행)" xfId="1274" xr:uid="{00000000-0005-0000-0000-0000EA040000}"/>
    <cellStyle name="_사전원가심의1_벤처오피스빌딩_울산천곡동(도면변경0916)예가송부" xfId="1275" xr:uid="{00000000-0005-0000-0000-0000EB040000}"/>
    <cellStyle name="_사전원가심의1_벤처오피스빌딩_울산천곡동(도면변경0916)예가송부_경희대치과대학" xfId="1276" xr:uid="{00000000-0005-0000-0000-0000EC040000}"/>
    <cellStyle name="_사전원가심의1_벤처오피스빌딩_울산천곡동(도면변경0916)예가송부_경희대치과대학_공용부" xfId="1277" xr:uid="{00000000-0005-0000-0000-0000ED040000}"/>
    <cellStyle name="_사전원가심의1_벤처오피스빌딩_울산천곡동(도면변경0916)예가송부_경희대치과대학_공용부_공용부" xfId="1278" xr:uid="{00000000-0005-0000-0000-0000EE040000}"/>
    <cellStyle name="_사전원가심의1_벤처오피스빌딩_울산천곡동(도면변경0916)예가송부_경희대치과대학_공용부_공용부_공용부" xfId="1279" xr:uid="{00000000-0005-0000-0000-0000EF040000}"/>
    <cellStyle name="_사전원가심의1_벤처오피스빌딩_울산천곡동(도면변경0916)예가송부_경희대치과대학_광주운암내역서(현설용)" xfId="1280" xr:uid="{00000000-0005-0000-0000-0000F0040000}"/>
    <cellStyle name="_사전원가심의1_벤처오피스빌딩_울산천곡동(도면변경0916)예가송부_경희대치과대학_목포남악내역서" xfId="1281" xr:uid="{00000000-0005-0000-0000-0000F1040000}"/>
    <cellStyle name="_사전원가심의1_벤처오피스빌딩_울산천곡동(도면변경0916)예가송부_경희대치과대학_삼성동I'PARK스포츠센타 보수공사(제출)" xfId="1282" xr:uid="{00000000-0005-0000-0000-0000F2040000}"/>
    <cellStyle name="_사전원가심의1_벤처오피스빌딩_울산천곡동(도면변경0916)예가송부_경희대치과대학_전기공사(추가)" xfId="1283" xr:uid="{00000000-0005-0000-0000-0000F3040000}"/>
    <cellStyle name="_사전원가심의1_벤처오피스빌딩_울산천곡동(도면변경0916)예가송부_경희대치과대학_종로무악 MH공사(실행)" xfId="1284" xr:uid="{00000000-0005-0000-0000-0000F4040000}"/>
    <cellStyle name="_사전원가심의1_벤처오피스빌딩_울산천곡동(도면변경0916)예가송부_공내역서" xfId="1285" xr:uid="{00000000-0005-0000-0000-0000F5040000}"/>
    <cellStyle name="_사전원가심의1_벤처오피스빌딩_울산천곡동(도면변경0916)예가송부_공내역서_경희대치과대학" xfId="1286" xr:uid="{00000000-0005-0000-0000-0000F6040000}"/>
    <cellStyle name="_사전원가심의1_벤처오피스빌딩_울산천곡동(도면변경0916)예가송부_공내역서_경희대치과대학_공용부" xfId="1287" xr:uid="{00000000-0005-0000-0000-0000F7040000}"/>
    <cellStyle name="_사전원가심의1_벤처오피스빌딩_울산천곡동(도면변경0916)예가송부_공내역서_경희대치과대학_공용부_공용부" xfId="1288" xr:uid="{00000000-0005-0000-0000-0000F8040000}"/>
    <cellStyle name="_사전원가심의1_벤처오피스빌딩_울산천곡동(도면변경0916)예가송부_공내역서_경희대치과대학_공용부_공용부_공용부" xfId="1289" xr:uid="{00000000-0005-0000-0000-0000F9040000}"/>
    <cellStyle name="_사전원가심의1_벤처오피스빌딩_울산천곡동(도면변경0916)예가송부_공내역서_경희대치과대학_광주운암내역서(현설용)" xfId="1290" xr:uid="{00000000-0005-0000-0000-0000FA040000}"/>
    <cellStyle name="_사전원가심의1_벤처오피스빌딩_울산천곡동(도면변경0916)예가송부_공내역서_경희대치과대학_목포남악내역서" xfId="1291" xr:uid="{00000000-0005-0000-0000-0000FB040000}"/>
    <cellStyle name="_사전원가심의1_벤처오피스빌딩_울산천곡동(도면변경0916)예가송부_공내역서_경희대치과대학_삼성동I'PARK스포츠센타 보수공사(제출)" xfId="1292" xr:uid="{00000000-0005-0000-0000-0000FC040000}"/>
    <cellStyle name="_사전원가심의1_벤처오피스빌딩_울산천곡동(도면변경0916)예가송부_공내역서_경희대치과대학_전기공사(추가)" xfId="1293" xr:uid="{00000000-0005-0000-0000-0000FD040000}"/>
    <cellStyle name="_사전원가심의1_벤처오피스빌딩_울산천곡동(도면변경0916)예가송부_공내역서_경희대치과대학_종로무악 MH공사(실행)" xfId="1294" xr:uid="{00000000-0005-0000-0000-0000FE040000}"/>
    <cellStyle name="_사전원가심의1_벤처오피스빌딩_울산천곡동(도면변경0916)예가송부_공내역서_공용부" xfId="1295" xr:uid="{00000000-0005-0000-0000-0000FF040000}"/>
    <cellStyle name="_사전원가심의1_벤처오피스빌딩_울산천곡동(도면변경0916)예가송부_공내역서_공용부_공용부" xfId="1296" xr:uid="{00000000-0005-0000-0000-000000050000}"/>
    <cellStyle name="_사전원가심의1_벤처오피스빌딩_울산천곡동(도면변경0916)예가송부_공내역서_공용부_공용부_공용부" xfId="1297" xr:uid="{00000000-0005-0000-0000-000001050000}"/>
    <cellStyle name="_사전원가심의1_벤처오피스빌딩_울산천곡동(도면변경0916)예가송부_공내역서_광주운암내역서(현설용)" xfId="1298" xr:uid="{00000000-0005-0000-0000-000002050000}"/>
    <cellStyle name="_사전원가심의1_벤처오피스빌딩_울산천곡동(도면변경0916)예가송부_공내역서_목포남악내역서" xfId="1299" xr:uid="{00000000-0005-0000-0000-000003050000}"/>
    <cellStyle name="_사전원가심의1_벤처오피스빌딩_울산천곡동(도면변경0916)예가송부_공내역서_삼성동I'PARK스포츠센타 보수공사(제출)" xfId="1300" xr:uid="{00000000-0005-0000-0000-000004050000}"/>
    <cellStyle name="_사전원가심의1_벤처오피스빌딩_울산천곡동(도면변경0916)예가송부_공내역서_울산천곡MH실행(재입찰)" xfId="1301" xr:uid="{00000000-0005-0000-0000-000005050000}"/>
    <cellStyle name="_사전원가심의1_벤처오피스빌딩_울산천곡동(도면변경0916)예가송부_공내역서_울산천곡MH실행(재입찰)_공용부" xfId="1302" xr:uid="{00000000-0005-0000-0000-000006050000}"/>
    <cellStyle name="_사전원가심의1_벤처오피스빌딩_울산천곡동(도면변경0916)예가송부_공내역서_울산천곡MH실행(재입찰)_공용부_공용부" xfId="1303" xr:uid="{00000000-0005-0000-0000-000007050000}"/>
    <cellStyle name="_사전원가심의1_벤처오피스빌딩_울산천곡동(도면변경0916)예가송부_공내역서_울산천곡MH실행(재입찰)_공용부_공용부_공용부" xfId="1304" xr:uid="{00000000-0005-0000-0000-000008050000}"/>
    <cellStyle name="_사전원가심의1_벤처오피스빌딩_울산천곡동(도면변경0916)예가송부_공내역서_울산천곡MH실행(재입찰)_광주운암내역서(현설용)" xfId="1305" xr:uid="{00000000-0005-0000-0000-000009050000}"/>
    <cellStyle name="_사전원가심의1_벤처오피스빌딩_울산천곡동(도면변경0916)예가송부_공내역서_울산천곡MH실행(재입찰)_목포남악내역서" xfId="1306" xr:uid="{00000000-0005-0000-0000-00000A050000}"/>
    <cellStyle name="_사전원가심의1_벤처오피스빌딩_울산천곡동(도면변경0916)예가송부_공내역서_울산천곡MH실행(재입찰)_삼성동I'PARK스포츠센타 보수공사(제출)" xfId="1307" xr:uid="{00000000-0005-0000-0000-00000B050000}"/>
    <cellStyle name="_사전원가심의1_벤처오피스빌딩_울산천곡동(도면변경0916)예가송부_공내역서_울산천곡MH실행(재입찰)_전기공사(추가)" xfId="1308" xr:uid="{00000000-0005-0000-0000-00000C050000}"/>
    <cellStyle name="_사전원가심의1_벤처오피스빌딩_울산천곡동(도면변경0916)예가송부_공내역서_울산천곡MH실행(재입찰)_종로무악 MH공사(실행)" xfId="1309" xr:uid="{00000000-0005-0000-0000-00000D050000}"/>
    <cellStyle name="_사전원가심의1_벤처오피스빌딩_울산천곡동(도면변경0916)예가송부_공내역서_울산천곡설계비" xfId="1310" xr:uid="{00000000-0005-0000-0000-00000E050000}"/>
    <cellStyle name="_사전원가심의1_벤처오피스빌딩_울산천곡동(도면변경0916)예가송부_공내역서_울산천곡설계비_공용부" xfId="1311" xr:uid="{00000000-0005-0000-0000-00000F050000}"/>
    <cellStyle name="_사전원가심의1_벤처오피스빌딩_울산천곡동(도면변경0916)예가송부_공내역서_울산천곡설계비_공용부_공용부" xfId="1312" xr:uid="{00000000-0005-0000-0000-000010050000}"/>
    <cellStyle name="_사전원가심의1_벤처오피스빌딩_울산천곡동(도면변경0916)예가송부_공내역서_울산천곡설계비_공용부_공용부_공용부" xfId="1313" xr:uid="{00000000-0005-0000-0000-000011050000}"/>
    <cellStyle name="_사전원가심의1_벤처오피스빌딩_울산천곡동(도면변경0916)예가송부_공내역서_울산천곡설계비_광주운암내역서(현설용)" xfId="1314" xr:uid="{00000000-0005-0000-0000-000012050000}"/>
    <cellStyle name="_사전원가심의1_벤처오피스빌딩_울산천곡동(도면변경0916)예가송부_공내역서_울산천곡설계비_목포남악내역서" xfId="1315" xr:uid="{00000000-0005-0000-0000-000013050000}"/>
    <cellStyle name="_사전원가심의1_벤처오피스빌딩_울산천곡동(도면변경0916)예가송부_공내역서_울산천곡설계비_삼성동I'PARK스포츠센타 보수공사(제출)" xfId="1316" xr:uid="{00000000-0005-0000-0000-000014050000}"/>
    <cellStyle name="_사전원가심의1_벤처오피스빌딩_울산천곡동(도면변경0916)예가송부_공내역서_울산천곡설계비_전기공사(추가)" xfId="1317" xr:uid="{00000000-0005-0000-0000-000015050000}"/>
    <cellStyle name="_사전원가심의1_벤처오피스빌딩_울산천곡동(도면변경0916)예가송부_공내역서_울산천곡설계비_종로무악 MH공사(실행)" xfId="1318" xr:uid="{00000000-0005-0000-0000-000016050000}"/>
    <cellStyle name="_사전원가심의1_벤처오피스빌딩_울산천곡동(도면변경0916)예가송부_공내역서_전기공사(추가)" xfId="1319" xr:uid="{00000000-0005-0000-0000-000017050000}"/>
    <cellStyle name="_사전원가심의1_벤처오피스빌딩_울산천곡동(도면변경0916)예가송부_공내역서_종로무악 MH공사(실행)" xfId="1320" xr:uid="{00000000-0005-0000-0000-000018050000}"/>
    <cellStyle name="_사전원가심의1_벤처오피스빌딩_울산천곡동(도면변경0916)예가송부_공용부" xfId="1321" xr:uid="{00000000-0005-0000-0000-000019050000}"/>
    <cellStyle name="_사전원가심의1_벤처오피스빌딩_울산천곡동(도면변경0916)예가송부_공용부_공용부" xfId="1322" xr:uid="{00000000-0005-0000-0000-00001A050000}"/>
    <cellStyle name="_사전원가심의1_벤처오피스빌딩_울산천곡동(도면변경0916)예가송부_공용부_공용부_공용부" xfId="1323" xr:uid="{00000000-0005-0000-0000-00001B050000}"/>
    <cellStyle name="_사전원가심의1_벤처오피스빌딩_울산천곡동(도면변경0916)예가송부_광주운암내역서(현설용)" xfId="1324" xr:uid="{00000000-0005-0000-0000-00001C050000}"/>
    <cellStyle name="_사전원가심의1_벤처오피스빌딩_울산천곡동(도면변경0916)예가송부_목포남악내역서" xfId="1325" xr:uid="{00000000-0005-0000-0000-00001D050000}"/>
    <cellStyle name="_사전원가심의1_벤처오피스빌딩_울산천곡동(도면변경0916)예가송부_삼성동I'PARK스포츠센타 보수공사(제출)" xfId="1326" xr:uid="{00000000-0005-0000-0000-00001E050000}"/>
    <cellStyle name="_사전원가심의1_벤처오피스빌딩_울산천곡동(도면변경0916)예가송부_울산천곡MH실행(재입찰)" xfId="1327" xr:uid="{00000000-0005-0000-0000-00001F050000}"/>
    <cellStyle name="_사전원가심의1_벤처오피스빌딩_울산천곡동(도면변경0916)예가송부_울산천곡MH실행(재입찰)_공용부" xfId="1328" xr:uid="{00000000-0005-0000-0000-000020050000}"/>
    <cellStyle name="_사전원가심의1_벤처오피스빌딩_울산천곡동(도면변경0916)예가송부_울산천곡MH실행(재입찰)_공용부_공용부" xfId="1329" xr:uid="{00000000-0005-0000-0000-000021050000}"/>
    <cellStyle name="_사전원가심의1_벤처오피스빌딩_울산천곡동(도면변경0916)예가송부_울산천곡MH실행(재입찰)_공용부_공용부_공용부" xfId="1330" xr:uid="{00000000-0005-0000-0000-000022050000}"/>
    <cellStyle name="_사전원가심의1_벤처오피스빌딩_울산천곡동(도면변경0916)예가송부_울산천곡MH실행(재입찰)_광주운암내역서(현설용)" xfId="1331" xr:uid="{00000000-0005-0000-0000-000023050000}"/>
    <cellStyle name="_사전원가심의1_벤처오피스빌딩_울산천곡동(도면변경0916)예가송부_울산천곡MH실행(재입찰)_목포남악내역서" xfId="1332" xr:uid="{00000000-0005-0000-0000-000024050000}"/>
    <cellStyle name="_사전원가심의1_벤처오피스빌딩_울산천곡동(도면변경0916)예가송부_울산천곡MH실행(재입찰)_삼성동I'PARK스포츠센타 보수공사(제출)" xfId="1333" xr:uid="{00000000-0005-0000-0000-000025050000}"/>
    <cellStyle name="_사전원가심의1_벤처오피스빌딩_울산천곡동(도면변경0916)예가송부_울산천곡MH실행(재입찰)_전기공사(추가)" xfId="1334" xr:uid="{00000000-0005-0000-0000-000026050000}"/>
    <cellStyle name="_사전원가심의1_벤처오피스빌딩_울산천곡동(도면변경0916)예가송부_울산천곡MH실행(재입찰)_종로무악 MH공사(실행)" xfId="1335" xr:uid="{00000000-0005-0000-0000-000027050000}"/>
    <cellStyle name="_사전원가심의1_벤처오피스빌딩_울산천곡동(도면변경0916)예가송부_울산천곡설계비" xfId="1336" xr:uid="{00000000-0005-0000-0000-000028050000}"/>
    <cellStyle name="_사전원가심의1_벤처오피스빌딩_울산천곡동(도면변경0916)예가송부_울산천곡설계비_공용부" xfId="1337" xr:uid="{00000000-0005-0000-0000-000029050000}"/>
    <cellStyle name="_사전원가심의1_벤처오피스빌딩_울산천곡동(도면변경0916)예가송부_울산천곡설계비_공용부_공용부" xfId="1338" xr:uid="{00000000-0005-0000-0000-00002A050000}"/>
    <cellStyle name="_사전원가심의1_벤처오피스빌딩_울산천곡동(도면변경0916)예가송부_울산천곡설계비_공용부_공용부_공용부" xfId="1339" xr:uid="{00000000-0005-0000-0000-00002B050000}"/>
    <cellStyle name="_사전원가심의1_벤처오피스빌딩_울산천곡동(도면변경0916)예가송부_울산천곡설계비_광주운암내역서(현설용)" xfId="1340" xr:uid="{00000000-0005-0000-0000-00002C050000}"/>
    <cellStyle name="_사전원가심의1_벤처오피스빌딩_울산천곡동(도면변경0916)예가송부_울산천곡설계비_목포남악내역서" xfId="1341" xr:uid="{00000000-0005-0000-0000-00002D050000}"/>
    <cellStyle name="_사전원가심의1_벤처오피스빌딩_울산천곡동(도면변경0916)예가송부_울산천곡설계비_삼성동I'PARK스포츠센타 보수공사(제출)" xfId="1342" xr:uid="{00000000-0005-0000-0000-00002E050000}"/>
    <cellStyle name="_사전원가심의1_벤처오피스빌딩_울산천곡동(도면변경0916)예가송부_울산천곡설계비_전기공사(추가)" xfId="1343" xr:uid="{00000000-0005-0000-0000-00002F050000}"/>
    <cellStyle name="_사전원가심의1_벤처오피스빌딩_울산천곡동(도면변경0916)예가송부_울산천곡설계비_종로무악 MH공사(실행)" xfId="1344" xr:uid="{00000000-0005-0000-0000-000030050000}"/>
    <cellStyle name="_사전원가심의1_벤처오피스빌딩_울산천곡동(도면변경0916)예가송부_전기공사(추가)" xfId="1345" xr:uid="{00000000-0005-0000-0000-000031050000}"/>
    <cellStyle name="_사전원가심의1_벤처오피스빌딩_울산천곡동(도면변경0916)예가송부_종로무악 MH공사(실행)" xfId="1346" xr:uid="{00000000-0005-0000-0000-000032050000}"/>
    <cellStyle name="_사전원가심의1_벤처오피스빌딩_울산천곡동_경희대치과대학" xfId="1347" xr:uid="{00000000-0005-0000-0000-000033050000}"/>
    <cellStyle name="_사전원가심의1_벤처오피스빌딩_울산천곡동_경희대치과대학_공용부" xfId="1348" xr:uid="{00000000-0005-0000-0000-000034050000}"/>
    <cellStyle name="_사전원가심의1_벤처오피스빌딩_울산천곡동_경희대치과대학_공용부_공용부" xfId="1349" xr:uid="{00000000-0005-0000-0000-000035050000}"/>
    <cellStyle name="_사전원가심의1_벤처오피스빌딩_울산천곡동_경희대치과대학_공용부_공용부_공용부" xfId="1350" xr:uid="{00000000-0005-0000-0000-000036050000}"/>
    <cellStyle name="_사전원가심의1_벤처오피스빌딩_울산천곡동_경희대치과대학_광주운암내역서(현설용)" xfId="1351" xr:uid="{00000000-0005-0000-0000-000037050000}"/>
    <cellStyle name="_사전원가심의1_벤처오피스빌딩_울산천곡동_경희대치과대학_목포남악내역서" xfId="1352" xr:uid="{00000000-0005-0000-0000-000038050000}"/>
    <cellStyle name="_사전원가심의1_벤처오피스빌딩_울산천곡동_경희대치과대학_삼성동I'PARK스포츠센타 보수공사(제출)" xfId="1353" xr:uid="{00000000-0005-0000-0000-000039050000}"/>
    <cellStyle name="_사전원가심의1_벤처오피스빌딩_울산천곡동_경희대치과대학_전기공사(추가)" xfId="1354" xr:uid="{00000000-0005-0000-0000-00003A050000}"/>
    <cellStyle name="_사전원가심의1_벤처오피스빌딩_울산천곡동_경희대치과대학_종로무악 MH공사(실행)" xfId="1355" xr:uid="{00000000-0005-0000-0000-00003B050000}"/>
    <cellStyle name="_사전원가심의1_벤처오피스빌딩_울산천곡동_공내역서" xfId="1356" xr:uid="{00000000-0005-0000-0000-00003C050000}"/>
    <cellStyle name="_사전원가심의1_벤처오피스빌딩_울산천곡동_공내역서_경희대치과대학" xfId="1357" xr:uid="{00000000-0005-0000-0000-00003D050000}"/>
    <cellStyle name="_사전원가심의1_벤처오피스빌딩_울산천곡동_공내역서_경희대치과대학_공용부" xfId="1358" xr:uid="{00000000-0005-0000-0000-00003E050000}"/>
    <cellStyle name="_사전원가심의1_벤처오피스빌딩_울산천곡동_공내역서_경희대치과대학_공용부_공용부" xfId="1359" xr:uid="{00000000-0005-0000-0000-00003F050000}"/>
    <cellStyle name="_사전원가심의1_벤처오피스빌딩_울산천곡동_공내역서_경희대치과대학_공용부_공용부_공용부" xfId="1360" xr:uid="{00000000-0005-0000-0000-000040050000}"/>
    <cellStyle name="_사전원가심의1_벤처오피스빌딩_울산천곡동_공내역서_경희대치과대학_광주운암내역서(현설용)" xfId="1361" xr:uid="{00000000-0005-0000-0000-000041050000}"/>
    <cellStyle name="_사전원가심의1_벤처오피스빌딩_울산천곡동_공내역서_경희대치과대학_목포남악내역서" xfId="1362" xr:uid="{00000000-0005-0000-0000-000042050000}"/>
    <cellStyle name="_사전원가심의1_벤처오피스빌딩_울산천곡동_공내역서_경희대치과대학_삼성동I'PARK스포츠센타 보수공사(제출)" xfId="1363" xr:uid="{00000000-0005-0000-0000-000043050000}"/>
    <cellStyle name="_사전원가심의1_벤처오피스빌딩_울산천곡동_공내역서_경희대치과대학_전기공사(추가)" xfId="1364" xr:uid="{00000000-0005-0000-0000-000044050000}"/>
    <cellStyle name="_사전원가심의1_벤처오피스빌딩_울산천곡동_공내역서_경희대치과대학_종로무악 MH공사(실행)" xfId="1365" xr:uid="{00000000-0005-0000-0000-000045050000}"/>
    <cellStyle name="_사전원가심의1_벤처오피스빌딩_울산천곡동_공내역서_공용부" xfId="1366" xr:uid="{00000000-0005-0000-0000-000046050000}"/>
    <cellStyle name="_사전원가심의1_벤처오피스빌딩_울산천곡동_공내역서_공용부_공용부" xfId="1367" xr:uid="{00000000-0005-0000-0000-000047050000}"/>
    <cellStyle name="_사전원가심의1_벤처오피스빌딩_울산천곡동_공내역서_공용부_공용부_공용부" xfId="1368" xr:uid="{00000000-0005-0000-0000-000048050000}"/>
    <cellStyle name="_사전원가심의1_벤처오피스빌딩_울산천곡동_공내역서_광주운암내역서(현설용)" xfId="1369" xr:uid="{00000000-0005-0000-0000-000049050000}"/>
    <cellStyle name="_사전원가심의1_벤처오피스빌딩_울산천곡동_공내역서_목포남악내역서" xfId="1370" xr:uid="{00000000-0005-0000-0000-00004A050000}"/>
    <cellStyle name="_사전원가심의1_벤처오피스빌딩_울산천곡동_공내역서_삼성동I'PARK스포츠센타 보수공사(제출)" xfId="1371" xr:uid="{00000000-0005-0000-0000-00004B050000}"/>
    <cellStyle name="_사전원가심의1_벤처오피스빌딩_울산천곡동_공내역서_울산천곡MH실행(재입찰)" xfId="1372" xr:uid="{00000000-0005-0000-0000-00004C050000}"/>
    <cellStyle name="_사전원가심의1_벤처오피스빌딩_울산천곡동_공내역서_울산천곡MH실행(재입찰)_공용부" xfId="1373" xr:uid="{00000000-0005-0000-0000-00004D050000}"/>
    <cellStyle name="_사전원가심의1_벤처오피스빌딩_울산천곡동_공내역서_울산천곡MH실행(재입찰)_공용부_공용부" xfId="1374" xr:uid="{00000000-0005-0000-0000-00004E050000}"/>
    <cellStyle name="_사전원가심의1_벤처오피스빌딩_울산천곡동_공내역서_울산천곡MH실행(재입찰)_공용부_공용부_공용부" xfId="1375" xr:uid="{00000000-0005-0000-0000-00004F050000}"/>
    <cellStyle name="_사전원가심의1_벤처오피스빌딩_울산천곡동_공내역서_울산천곡MH실행(재입찰)_광주운암내역서(현설용)" xfId="1376" xr:uid="{00000000-0005-0000-0000-000050050000}"/>
    <cellStyle name="_사전원가심의1_벤처오피스빌딩_울산천곡동_공내역서_울산천곡MH실행(재입찰)_목포남악내역서" xfId="1377" xr:uid="{00000000-0005-0000-0000-000051050000}"/>
    <cellStyle name="_사전원가심의1_벤처오피스빌딩_울산천곡동_공내역서_울산천곡MH실행(재입찰)_삼성동I'PARK스포츠센타 보수공사(제출)" xfId="1378" xr:uid="{00000000-0005-0000-0000-000052050000}"/>
    <cellStyle name="_사전원가심의1_벤처오피스빌딩_울산천곡동_공내역서_울산천곡MH실행(재입찰)_전기공사(추가)" xfId="1379" xr:uid="{00000000-0005-0000-0000-000053050000}"/>
    <cellStyle name="_사전원가심의1_벤처오피스빌딩_울산천곡동_공내역서_울산천곡MH실행(재입찰)_종로무악 MH공사(실행)" xfId="1380" xr:uid="{00000000-0005-0000-0000-000054050000}"/>
    <cellStyle name="_사전원가심의1_벤처오피스빌딩_울산천곡동_공내역서_울산천곡설계비" xfId="1381" xr:uid="{00000000-0005-0000-0000-000055050000}"/>
    <cellStyle name="_사전원가심의1_벤처오피스빌딩_울산천곡동_공내역서_울산천곡설계비_공용부" xfId="1382" xr:uid="{00000000-0005-0000-0000-000056050000}"/>
    <cellStyle name="_사전원가심의1_벤처오피스빌딩_울산천곡동_공내역서_울산천곡설계비_공용부_공용부" xfId="1383" xr:uid="{00000000-0005-0000-0000-000057050000}"/>
    <cellStyle name="_사전원가심의1_벤처오피스빌딩_울산천곡동_공내역서_울산천곡설계비_공용부_공용부_공용부" xfId="1384" xr:uid="{00000000-0005-0000-0000-000058050000}"/>
    <cellStyle name="_사전원가심의1_벤처오피스빌딩_울산천곡동_공내역서_울산천곡설계비_광주운암내역서(현설용)" xfId="1385" xr:uid="{00000000-0005-0000-0000-000059050000}"/>
    <cellStyle name="_사전원가심의1_벤처오피스빌딩_울산천곡동_공내역서_울산천곡설계비_목포남악내역서" xfId="1386" xr:uid="{00000000-0005-0000-0000-00005A050000}"/>
    <cellStyle name="_사전원가심의1_벤처오피스빌딩_울산천곡동_공내역서_울산천곡설계비_삼성동I'PARK스포츠센타 보수공사(제출)" xfId="1387" xr:uid="{00000000-0005-0000-0000-00005B050000}"/>
    <cellStyle name="_사전원가심의1_벤처오피스빌딩_울산천곡동_공내역서_울산천곡설계비_전기공사(추가)" xfId="1388" xr:uid="{00000000-0005-0000-0000-00005C050000}"/>
    <cellStyle name="_사전원가심의1_벤처오피스빌딩_울산천곡동_공내역서_울산천곡설계비_종로무악 MH공사(실행)" xfId="1389" xr:uid="{00000000-0005-0000-0000-00005D050000}"/>
    <cellStyle name="_사전원가심의1_벤처오피스빌딩_울산천곡동_공내역서_전기공사(추가)" xfId="1390" xr:uid="{00000000-0005-0000-0000-00005E050000}"/>
    <cellStyle name="_사전원가심의1_벤처오피스빌딩_울산천곡동_공내역서_종로무악 MH공사(실행)" xfId="1391" xr:uid="{00000000-0005-0000-0000-00005F050000}"/>
    <cellStyle name="_사전원가심의1_벤처오피스빌딩_울산천곡동_공용부" xfId="1392" xr:uid="{00000000-0005-0000-0000-000060050000}"/>
    <cellStyle name="_사전원가심의1_벤처오피스빌딩_울산천곡동_공용부_공용부" xfId="1393" xr:uid="{00000000-0005-0000-0000-000061050000}"/>
    <cellStyle name="_사전원가심의1_벤처오피스빌딩_울산천곡동_공용부_공용부_공용부" xfId="1394" xr:uid="{00000000-0005-0000-0000-000062050000}"/>
    <cellStyle name="_사전원가심의1_벤처오피스빌딩_울산천곡동_광주운암내역서(현설용)" xfId="1395" xr:uid="{00000000-0005-0000-0000-000063050000}"/>
    <cellStyle name="_사전원가심의1_벤처오피스빌딩_울산천곡동_목포남악내역서" xfId="1396" xr:uid="{00000000-0005-0000-0000-000064050000}"/>
    <cellStyle name="_사전원가심의1_벤처오피스빌딩_울산천곡동_삼성동I'PARK스포츠센타 보수공사(제출)" xfId="1397" xr:uid="{00000000-0005-0000-0000-000065050000}"/>
    <cellStyle name="_사전원가심의1_벤처오피스빌딩_울산천곡동_울산천곡MH실행(재입찰)" xfId="1398" xr:uid="{00000000-0005-0000-0000-000066050000}"/>
    <cellStyle name="_사전원가심의1_벤처오피스빌딩_울산천곡동_울산천곡MH실행(재입찰)_공용부" xfId="1399" xr:uid="{00000000-0005-0000-0000-000067050000}"/>
    <cellStyle name="_사전원가심의1_벤처오피스빌딩_울산천곡동_울산천곡MH실행(재입찰)_공용부_공용부" xfId="1400" xr:uid="{00000000-0005-0000-0000-000068050000}"/>
    <cellStyle name="_사전원가심의1_벤처오피스빌딩_울산천곡동_울산천곡MH실행(재입찰)_공용부_공용부_공용부" xfId="1401" xr:uid="{00000000-0005-0000-0000-000069050000}"/>
    <cellStyle name="_사전원가심의1_벤처오피스빌딩_울산천곡동_울산천곡MH실행(재입찰)_광주운암내역서(현설용)" xfId="1402" xr:uid="{00000000-0005-0000-0000-00006A050000}"/>
    <cellStyle name="_사전원가심의1_벤처오피스빌딩_울산천곡동_울산천곡MH실행(재입찰)_목포남악내역서" xfId="1403" xr:uid="{00000000-0005-0000-0000-00006B050000}"/>
    <cellStyle name="_사전원가심의1_벤처오피스빌딩_울산천곡동_울산천곡MH실행(재입찰)_삼성동I'PARK스포츠센타 보수공사(제출)" xfId="1404" xr:uid="{00000000-0005-0000-0000-00006C050000}"/>
    <cellStyle name="_사전원가심의1_벤처오피스빌딩_울산천곡동_울산천곡MH실행(재입찰)_전기공사(추가)" xfId="1405" xr:uid="{00000000-0005-0000-0000-00006D050000}"/>
    <cellStyle name="_사전원가심의1_벤처오피스빌딩_울산천곡동_울산천곡MH실행(재입찰)_종로무악 MH공사(실행)" xfId="1406" xr:uid="{00000000-0005-0000-0000-00006E050000}"/>
    <cellStyle name="_사전원가심의1_벤처오피스빌딩_울산천곡동_울산천곡설계비" xfId="1407" xr:uid="{00000000-0005-0000-0000-00006F050000}"/>
    <cellStyle name="_사전원가심의1_벤처오피스빌딩_울산천곡동_울산천곡설계비_공용부" xfId="1408" xr:uid="{00000000-0005-0000-0000-000070050000}"/>
    <cellStyle name="_사전원가심의1_벤처오피스빌딩_울산천곡동_울산천곡설계비_공용부_공용부" xfId="1409" xr:uid="{00000000-0005-0000-0000-000071050000}"/>
    <cellStyle name="_사전원가심의1_벤처오피스빌딩_울산천곡동_울산천곡설계비_공용부_공용부_공용부" xfId="1410" xr:uid="{00000000-0005-0000-0000-000072050000}"/>
    <cellStyle name="_사전원가심의1_벤처오피스빌딩_울산천곡동_울산천곡설계비_광주운암내역서(현설용)" xfId="1411" xr:uid="{00000000-0005-0000-0000-000073050000}"/>
    <cellStyle name="_사전원가심의1_벤처오피스빌딩_울산천곡동_울산천곡설계비_목포남악내역서" xfId="1412" xr:uid="{00000000-0005-0000-0000-000074050000}"/>
    <cellStyle name="_사전원가심의1_벤처오피스빌딩_울산천곡동_울산천곡설계비_삼성동I'PARK스포츠센타 보수공사(제출)" xfId="1413" xr:uid="{00000000-0005-0000-0000-000075050000}"/>
    <cellStyle name="_사전원가심의1_벤처오피스빌딩_울산천곡동_울산천곡설계비_전기공사(추가)" xfId="1414" xr:uid="{00000000-0005-0000-0000-000076050000}"/>
    <cellStyle name="_사전원가심의1_벤처오피스빌딩_울산천곡동_울산천곡설계비_종로무악 MH공사(실행)" xfId="1415" xr:uid="{00000000-0005-0000-0000-000077050000}"/>
    <cellStyle name="_사전원가심의1_벤처오피스빌딩_울산천곡동_전기공사(추가)" xfId="1416" xr:uid="{00000000-0005-0000-0000-000078050000}"/>
    <cellStyle name="_사전원가심의1_벤처오피스빌딩_울산천곡동_종로무악 MH공사(실행)" xfId="1417" xr:uid="{00000000-0005-0000-0000-000079050000}"/>
    <cellStyle name="_사전원가심의1_벤처오피스빌딩_울산천곡설계비" xfId="1418" xr:uid="{00000000-0005-0000-0000-00007A050000}"/>
    <cellStyle name="_사전원가심의1_벤처오피스빌딩_울산천곡설계비_공용부" xfId="1419" xr:uid="{00000000-0005-0000-0000-00007B050000}"/>
    <cellStyle name="_사전원가심의1_벤처오피스빌딩_울산천곡설계비_공용부_공용부" xfId="1420" xr:uid="{00000000-0005-0000-0000-00007C050000}"/>
    <cellStyle name="_사전원가심의1_벤처오피스빌딩_울산천곡설계비_공용부_공용부_공용부" xfId="1421" xr:uid="{00000000-0005-0000-0000-00007D050000}"/>
    <cellStyle name="_사전원가심의1_벤처오피스빌딩_울산천곡설계비_광주운암내역서(현설용)" xfId="1422" xr:uid="{00000000-0005-0000-0000-00007E050000}"/>
    <cellStyle name="_사전원가심의1_벤처오피스빌딩_울산천곡설계비_목포남악내역서" xfId="1423" xr:uid="{00000000-0005-0000-0000-00007F050000}"/>
    <cellStyle name="_사전원가심의1_벤처오피스빌딩_울산천곡설계비_삼성동I'PARK스포츠센타 보수공사(제출)" xfId="1424" xr:uid="{00000000-0005-0000-0000-000080050000}"/>
    <cellStyle name="_사전원가심의1_벤처오피스빌딩_울산천곡설계비_전기공사(추가)" xfId="1425" xr:uid="{00000000-0005-0000-0000-000081050000}"/>
    <cellStyle name="_사전원가심의1_벤처오피스빌딩_울산천곡설계비_종로무악 MH공사(실행)" xfId="1426" xr:uid="{00000000-0005-0000-0000-000082050000}"/>
    <cellStyle name="_사전원가심의1_벤처오피스빌딩_전기공사(추가)" xfId="1427" xr:uid="{00000000-0005-0000-0000-000083050000}"/>
    <cellStyle name="_사전원가심의1_벤처오피스빌딩_종로무악 MH공사(실행)" xfId="1428" xr:uid="{00000000-0005-0000-0000-000084050000}"/>
    <cellStyle name="_사전원가심의1_벤처오피스빌딩_창동현대홈시티" xfId="1429" xr:uid="{00000000-0005-0000-0000-000085050000}"/>
    <cellStyle name="_사전원가심의1_벤처오피스빌딩_창동현대홈시티_경희대치과대학" xfId="1430" xr:uid="{00000000-0005-0000-0000-000086050000}"/>
    <cellStyle name="_사전원가심의1_벤처오피스빌딩_창동현대홈시티_경희대치과대학_공용부" xfId="1431" xr:uid="{00000000-0005-0000-0000-000087050000}"/>
    <cellStyle name="_사전원가심의1_벤처오피스빌딩_창동현대홈시티_경희대치과대학_공용부_공용부" xfId="1432" xr:uid="{00000000-0005-0000-0000-000088050000}"/>
    <cellStyle name="_사전원가심의1_벤처오피스빌딩_창동현대홈시티_경희대치과대학_공용부_공용부_공용부" xfId="1433" xr:uid="{00000000-0005-0000-0000-000089050000}"/>
    <cellStyle name="_사전원가심의1_벤처오피스빌딩_창동현대홈시티_경희대치과대학_광주운암내역서(현설용)" xfId="1434" xr:uid="{00000000-0005-0000-0000-00008A050000}"/>
    <cellStyle name="_사전원가심의1_벤처오피스빌딩_창동현대홈시티_경희대치과대학_목포남악내역서" xfId="1435" xr:uid="{00000000-0005-0000-0000-00008B050000}"/>
    <cellStyle name="_사전원가심의1_벤처오피스빌딩_창동현대홈시티_경희대치과대학_삼성동I'PARK스포츠센타 보수공사(제출)" xfId="1436" xr:uid="{00000000-0005-0000-0000-00008C050000}"/>
    <cellStyle name="_사전원가심의1_벤처오피스빌딩_창동현대홈시티_경희대치과대학_전기공사(추가)" xfId="1437" xr:uid="{00000000-0005-0000-0000-00008D050000}"/>
    <cellStyle name="_사전원가심의1_벤처오피스빌딩_창동현대홈시티_경희대치과대학_종로무악 MH공사(실행)" xfId="1438" xr:uid="{00000000-0005-0000-0000-00008E050000}"/>
    <cellStyle name="_사전원가심의1_벤처오피스빌딩_창동현대홈시티_공용부" xfId="1439" xr:uid="{00000000-0005-0000-0000-00008F050000}"/>
    <cellStyle name="_사전원가심의1_벤처오피스빌딩_창동현대홈시티_공용부_공용부" xfId="1440" xr:uid="{00000000-0005-0000-0000-000090050000}"/>
    <cellStyle name="_사전원가심의1_벤처오피스빌딩_창동현대홈시티_공용부_공용부_공용부" xfId="1441" xr:uid="{00000000-0005-0000-0000-000091050000}"/>
    <cellStyle name="_사전원가심의1_벤처오피스빌딩_창동현대홈시티_광주운암내역서(현설용)" xfId="1442" xr:uid="{00000000-0005-0000-0000-000092050000}"/>
    <cellStyle name="_사전원가심의1_벤처오피스빌딩_창동현대홈시티_목포남악내역서" xfId="1443" xr:uid="{00000000-0005-0000-0000-000093050000}"/>
    <cellStyle name="_사전원가심의1_벤처오피스빌딩_창동현대홈시티_삼성동I'PARK스포츠센타 보수공사(제출)" xfId="1444" xr:uid="{00000000-0005-0000-0000-000094050000}"/>
    <cellStyle name="_사전원가심의1_벤처오피스빌딩_창동현대홈시티_울산천곡MH실행(재입찰)" xfId="1445" xr:uid="{00000000-0005-0000-0000-000095050000}"/>
    <cellStyle name="_사전원가심의1_벤처오피스빌딩_창동현대홈시티_울산천곡MH실행(재입찰)_공용부" xfId="1446" xr:uid="{00000000-0005-0000-0000-000096050000}"/>
    <cellStyle name="_사전원가심의1_벤처오피스빌딩_창동현대홈시티_울산천곡MH실행(재입찰)_공용부_공용부" xfId="1447" xr:uid="{00000000-0005-0000-0000-000097050000}"/>
    <cellStyle name="_사전원가심의1_벤처오피스빌딩_창동현대홈시티_울산천곡MH실행(재입찰)_공용부_공용부_공용부" xfId="1448" xr:uid="{00000000-0005-0000-0000-000098050000}"/>
    <cellStyle name="_사전원가심의1_벤처오피스빌딩_창동현대홈시티_울산천곡MH실행(재입찰)_광주운암내역서(현설용)" xfId="1449" xr:uid="{00000000-0005-0000-0000-000099050000}"/>
    <cellStyle name="_사전원가심의1_벤처오피스빌딩_창동현대홈시티_울산천곡MH실행(재입찰)_목포남악내역서" xfId="1450" xr:uid="{00000000-0005-0000-0000-00009A050000}"/>
    <cellStyle name="_사전원가심의1_벤처오피스빌딩_창동현대홈시티_울산천곡MH실행(재입찰)_삼성동I'PARK스포츠센타 보수공사(제출)" xfId="1451" xr:uid="{00000000-0005-0000-0000-00009B050000}"/>
    <cellStyle name="_사전원가심의1_벤처오피스빌딩_창동현대홈시티_울산천곡MH실행(재입찰)_전기공사(추가)" xfId="1452" xr:uid="{00000000-0005-0000-0000-00009C050000}"/>
    <cellStyle name="_사전원가심의1_벤처오피스빌딩_창동현대홈시티_울산천곡MH실행(재입찰)_종로무악 MH공사(실행)" xfId="1453" xr:uid="{00000000-0005-0000-0000-00009D050000}"/>
    <cellStyle name="_사전원가심의1_벤처오피스빌딩_창동현대홈시티_울산천곡설계비" xfId="1454" xr:uid="{00000000-0005-0000-0000-00009E050000}"/>
    <cellStyle name="_사전원가심의1_벤처오피스빌딩_창동현대홈시티_울산천곡설계비_공용부" xfId="1455" xr:uid="{00000000-0005-0000-0000-00009F050000}"/>
    <cellStyle name="_사전원가심의1_벤처오피스빌딩_창동현대홈시티_울산천곡설계비_공용부_공용부" xfId="1456" xr:uid="{00000000-0005-0000-0000-0000A0050000}"/>
    <cellStyle name="_사전원가심의1_벤처오피스빌딩_창동현대홈시티_울산천곡설계비_공용부_공용부_공용부" xfId="1457" xr:uid="{00000000-0005-0000-0000-0000A1050000}"/>
    <cellStyle name="_사전원가심의1_벤처오피스빌딩_창동현대홈시티_울산천곡설계비_광주운암내역서(현설용)" xfId="1458" xr:uid="{00000000-0005-0000-0000-0000A2050000}"/>
    <cellStyle name="_사전원가심의1_벤처오피스빌딩_창동현대홈시티_울산천곡설계비_목포남악내역서" xfId="1459" xr:uid="{00000000-0005-0000-0000-0000A3050000}"/>
    <cellStyle name="_사전원가심의1_벤처오피스빌딩_창동현대홈시티_울산천곡설계비_삼성동I'PARK스포츠센타 보수공사(제출)" xfId="1460" xr:uid="{00000000-0005-0000-0000-0000A4050000}"/>
    <cellStyle name="_사전원가심의1_벤처오피스빌딩_창동현대홈시티_울산천곡설계비_전기공사(추가)" xfId="1461" xr:uid="{00000000-0005-0000-0000-0000A5050000}"/>
    <cellStyle name="_사전원가심의1_벤처오피스빌딩_창동현대홈시티_울산천곡설계비_종로무악 MH공사(실행)" xfId="1462" xr:uid="{00000000-0005-0000-0000-0000A6050000}"/>
    <cellStyle name="_사전원가심의1_벤처오피스빌딩_창동현대홈시티_전기공사(추가)" xfId="1463" xr:uid="{00000000-0005-0000-0000-0000A7050000}"/>
    <cellStyle name="_사전원가심의1_벤처오피스빌딩_창동현대홈시티_종로무악 MH공사(실행)" xfId="1464" xr:uid="{00000000-0005-0000-0000-0000A8050000}"/>
    <cellStyle name="_사전원가심의1_벤처오피스빌딩_천안용곡1" xfId="1465" xr:uid="{00000000-0005-0000-0000-0000A9050000}"/>
    <cellStyle name="_사전원가심의1_벤처오피스빌딩_천안용곡1_경희대치과대학" xfId="1466" xr:uid="{00000000-0005-0000-0000-0000AA050000}"/>
    <cellStyle name="_사전원가심의1_벤처오피스빌딩_천안용곡1_경희대치과대학_공용부" xfId="1467" xr:uid="{00000000-0005-0000-0000-0000AB050000}"/>
    <cellStyle name="_사전원가심의1_벤처오피스빌딩_천안용곡1_경희대치과대학_공용부_공용부" xfId="1468" xr:uid="{00000000-0005-0000-0000-0000AC050000}"/>
    <cellStyle name="_사전원가심의1_벤처오피스빌딩_천안용곡1_경희대치과대학_공용부_공용부_공용부" xfId="1469" xr:uid="{00000000-0005-0000-0000-0000AD050000}"/>
    <cellStyle name="_사전원가심의1_벤처오피스빌딩_천안용곡1_경희대치과대학_광주운암내역서(현설용)" xfId="1470" xr:uid="{00000000-0005-0000-0000-0000AE050000}"/>
    <cellStyle name="_사전원가심의1_벤처오피스빌딩_천안용곡1_경희대치과대학_목포남악내역서" xfId="1471" xr:uid="{00000000-0005-0000-0000-0000AF050000}"/>
    <cellStyle name="_사전원가심의1_벤처오피스빌딩_천안용곡1_경희대치과대학_삼성동I'PARK스포츠센타 보수공사(제출)" xfId="1472" xr:uid="{00000000-0005-0000-0000-0000B0050000}"/>
    <cellStyle name="_사전원가심의1_벤처오피스빌딩_천안용곡1_경희대치과대학_전기공사(추가)" xfId="1473" xr:uid="{00000000-0005-0000-0000-0000B1050000}"/>
    <cellStyle name="_사전원가심의1_벤처오피스빌딩_천안용곡1_경희대치과대학_종로무악 MH공사(실행)" xfId="1474" xr:uid="{00000000-0005-0000-0000-0000B2050000}"/>
    <cellStyle name="_사전원가심의1_벤처오피스빌딩_천안용곡1_공내역서" xfId="1475" xr:uid="{00000000-0005-0000-0000-0000B3050000}"/>
    <cellStyle name="_사전원가심의1_벤처오피스빌딩_천안용곡1_공내역서_경희대치과대학" xfId="1476" xr:uid="{00000000-0005-0000-0000-0000B4050000}"/>
    <cellStyle name="_사전원가심의1_벤처오피스빌딩_천안용곡1_공내역서_경희대치과대학_공용부" xfId="1477" xr:uid="{00000000-0005-0000-0000-0000B5050000}"/>
    <cellStyle name="_사전원가심의1_벤처오피스빌딩_천안용곡1_공내역서_경희대치과대학_공용부_공용부" xfId="1478" xr:uid="{00000000-0005-0000-0000-0000B6050000}"/>
    <cellStyle name="_사전원가심의1_벤처오피스빌딩_천안용곡1_공내역서_경희대치과대학_공용부_공용부_공용부" xfId="1479" xr:uid="{00000000-0005-0000-0000-0000B7050000}"/>
    <cellStyle name="_사전원가심의1_벤처오피스빌딩_천안용곡1_공내역서_경희대치과대학_광주운암내역서(현설용)" xfId="1480" xr:uid="{00000000-0005-0000-0000-0000B8050000}"/>
    <cellStyle name="_사전원가심의1_벤처오피스빌딩_천안용곡1_공내역서_경희대치과대학_목포남악내역서" xfId="1481" xr:uid="{00000000-0005-0000-0000-0000B9050000}"/>
    <cellStyle name="_사전원가심의1_벤처오피스빌딩_천안용곡1_공내역서_경희대치과대학_삼성동I'PARK스포츠센타 보수공사(제출)" xfId="1482" xr:uid="{00000000-0005-0000-0000-0000BA050000}"/>
    <cellStyle name="_사전원가심의1_벤처오피스빌딩_천안용곡1_공내역서_경희대치과대학_전기공사(추가)" xfId="1483" xr:uid="{00000000-0005-0000-0000-0000BB050000}"/>
    <cellStyle name="_사전원가심의1_벤처오피스빌딩_천안용곡1_공내역서_경희대치과대학_종로무악 MH공사(실행)" xfId="1484" xr:uid="{00000000-0005-0000-0000-0000BC050000}"/>
    <cellStyle name="_사전원가심의1_벤처오피스빌딩_천안용곡1_공내역서_공용부" xfId="1485" xr:uid="{00000000-0005-0000-0000-0000BD050000}"/>
    <cellStyle name="_사전원가심의1_벤처오피스빌딩_천안용곡1_공내역서_공용부_공용부" xfId="1486" xr:uid="{00000000-0005-0000-0000-0000BE050000}"/>
    <cellStyle name="_사전원가심의1_벤처오피스빌딩_천안용곡1_공내역서_공용부_공용부_공용부" xfId="1487" xr:uid="{00000000-0005-0000-0000-0000BF050000}"/>
    <cellStyle name="_사전원가심의1_벤처오피스빌딩_천안용곡1_공내역서_광주운암내역서(현설용)" xfId="1488" xr:uid="{00000000-0005-0000-0000-0000C0050000}"/>
    <cellStyle name="_사전원가심의1_벤처오피스빌딩_천안용곡1_공내역서_목포남악내역서" xfId="1489" xr:uid="{00000000-0005-0000-0000-0000C1050000}"/>
    <cellStyle name="_사전원가심의1_벤처오피스빌딩_천안용곡1_공내역서_삼성동I'PARK스포츠센타 보수공사(제출)" xfId="1490" xr:uid="{00000000-0005-0000-0000-0000C2050000}"/>
    <cellStyle name="_사전원가심의1_벤처오피스빌딩_천안용곡1_공내역서_울산천곡MH실행(재입찰)" xfId="1491" xr:uid="{00000000-0005-0000-0000-0000C3050000}"/>
    <cellStyle name="_사전원가심의1_벤처오피스빌딩_천안용곡1_공내역서_울산천곡MH실행(재입찰)_공용부" xfId="1492" xr:uid="{00000000-0005-0000-0000-0000C4050000}"/>
    <cellStyle name="_사전원가심의1_벤처오피스빌딩_천안용곡1_공내역서_울산천곡MH실행(재입찰)_공용부_공용부" xfId="1493" xr:uid="{00000000-0005-0000-0000-0000C5050000}"/>
    <cellStyle name="_사전원가심의1_벤처오피스빌딩_천안용곡1_공내역서_울산천곡MH실행(재입찰)_공용부_공용부_공용부" xfId="1494" xr:uid="{00000000-0005-0000-0000-0000C6050000}"/>
    <cellStyle name="_사전원가심의1_벤처오피스빌딩_천안용곡1_공내역서_울산천곡MH실행(재입찰)_광주운암내역서(현설용)" xfId="1495" xr:uid="{00000000-0005-0000-0000-0000C7050000}"/>
    <cellStyle name="_사전원가심의1_벤처오피스빌딩_천안용곡1_공내역서_울산천곡MH실행(재입찰)_목포남악내역서" xfId="1496" xr:uid="{00000000-0005-0000-0000-0000C8050000}"/>
    <cellStyle name="_사전원가심의1_벤처오피스빌딩_천안용곡1_공내역서_울산천곡MH실행(재입찰)_삼성동I'PARK스포츠센타 보수공사(제출)" xfId="1497" xr:uid="{00000000-0005-0000-0000-0000C9050000}"/>
    <cellStyle name="_사전원가심의1_벤처오피스빌딩_천안용곡1_공내역서_울산천곡MH실행(재입찰)_전기공사(추가)" xfId="1498" xr:uid="{00000000-0005-0000-0000-0000CA050000}"/>
    <cellStyle name="_사전원가심의1_벤처오피스빌딩_천안용곡1_공내역서_울산천곡MH실행(재입찰)_종로무악 MH공사(실행)" xfId="1499" xr:uid="{00000000-0005-0000-0000-0000CB050000}"/>
    <cellStyle name="_사전원가심의1_벤처오피스빌딩_천안용곡1_공내역서_울산천곡설계비" xfId="1500" xr:uid="{00000000-0005-0000-0000-0000CC050000}"/>
    <cellStyle name="_사전원가심의1_벤처오피스빌딩_천안용곡1_공내역서_울산천곡설계비_공용부" xfId="1501" xr:uid="{00000000-0005-0000-0000-0000CD050000}"/>
    <cellStyle name="_사전원가심의1_벤처오피스빌딩_천안용곡1_공내역서_울산천곡설계비_공용부_공용부" xfId="1502" xr:uid="{00000000-0005-0000-0000-0000CE050000}"/>
    <cellStyle name="_사전원가심의1_벤처오피스빌딩_천안용곡1_공내역서_울산천곡설계비_공용부_공용부_공용부" xfId="1503" xr:uid="{00000000-0005-0000-0000-0000CF050000}"/>
    <cellStyle name="_사전원가심의1_벤처오피스빌딩_천안용곡1_공내역서_울산천곡설계비_광주운암내역서(현설용)" xfId="1504" xr:uid="{00000000-0005-0000-0000-0000D0050000}"/>
    <cellStyle name="_사전원가심의1_벤처오피스빌딩_천안용곡1_공내역서_울산천곡설계비_목포남악내역서" xfId="1505" xr:uid="{00000000-0005-0000-0000-0000D1050000}"/>
    <cellStyle name="_사전원가심의1_벤처오피스빌딩_천안용곡1_공내역서_울산천곡설계비_삼성동I'PARK스포츠센타 보수공사(제출)" xfId="1506" xr:uid="{00000000-0005-0000-0000-0000D2050000}"/>
    <cellStyle name="_사전원가심의1_벤처오피스빌딩_천안용곡1_공내역서_울산천곡설계비_전기공사(추가)" xfId="1507" xr:uid="{00000000-0005-0000-0000-0000D3050000}"/>
    <cellStyle name="_사전원가심의1_벤처오피스빌딩_천안용곡1_공내역서_울산천곡설계비_종로무악 MH공사(실행)" xfId="1508" xr:uid="{00000000-0005-0000-0000-0000D4050000}"/>
    <cellStyle name="_사전원가심의1_벤처오피스빌딩_천안용곡1_공내역서_전기공사(추가)" xfId="1509" xr:uid="{00000000-0005-0000-0000-0000D5050000}"/>
    <cellStyle name="_사전원가심의1_벤처오피스빌딩_천안용곡1_공내역서_종로무악 MH공사(실행)" xfId="1510" xr:uid="{00000000-0005-0000-0000-0000D6050000}"/>
    <cellStyle name="_사전원가심의1_벤처오피스빌딩_천안용곡1_공용부" xfId="1511" xr:uid="{00000000-0005-0000-0000-0000D7050000}"/>
    <cellStyle name="_사전원가심의1_벤처오피스빌딩_천안용곡1_공용부_공용부" xfId="1512" xr:uid="{00000000-0005-0000-0000-0000D8050000}"/>
    <cellStyle name="_사전원가심의1_벤처오피스빌딩_천안용곡1_공용부_공용부_공용부" xfId="1513" xr:uid="{00000000-0005-0000-0000-0000D9050000}"/>
    <cellStyle name="_사전원가심의1_벤처오피스빌딩_천안용곡1_광주운암내역서(현설용)" xfId="1514" xr:uid="{00000000-0005-0000-0000-0000DA050000}"/>
    <cellStyle name="_사전원가심의1_벤처오피스빌딩_천안용곡1_목포남악내역서" xfId="1515" xr:uid="{00000000-0005-0000-0000-0000DB050000}"/>
    <cellStyle name="_사전원가심의1_벤처오피스빌딩_천안용곡1_삼성동I'PARK스포츠센타 보수공사(제출)" xfId="1516" xr:uid="{00000000-0005-0000-0000-0000DC050000}"/>
    <cellStyle name="_사전원가심의1_벤처오피스빌딩_천안용곡1_울산천곡MH실행(재입찰)" xfId="1517" xr:uid="{00000000-0005-0000-0000-0000DD050000}"/>
    <cellStyle name="_사전원가심의1_벤처오피스빌딩_천안용곡1_울산천곡MH실행(재입찰)_공용부" xfId="1518" xr:uid="{00000000-0005-0000-0000-0000DE050000}"/>
    <cellStyle name="_사전원가심의1_벤처오피스빌딩_천안용곡1_울산천곡MH실행(재입찰)_공용부_공용부" xfId="1519" xr:uid="{00000000-0005-0000-0000-0000DF050000}"/>
    <cellStyle name="_사전원가심의1_벤처오피스빌딩_천안용곡1_울산천곡MH실행(재입찰)_공용부_공용부_공용부" xfId="1520" xr:uid="{00000000-0005-0000-0000-0000E0050000}"/>
    <cellStyle name="_사전원가심의1_벤처오피스빌딩_천안용곡1_울산천곡MH실행(재입찰)_광주운암내역서(현설용)" xfId="1521" xr:uid="{00000000-0005-0000-0000-0000E1050000}"/>
    <cellStyle name="_사전원가심의1_벤처오피스빌딩_천안용곡1_울산천곡MH실행(재입찰)_목포남악내역서" xfId="1522" xr:uid="{00000000-0005-0000-0000-0000E2050000}"/>
    <cellStyle name="_사전원가심의1_벤처오피스빌딩_천안용곡1_울산천곡MH실행(재입찰)_삼성동I'PARK스포츠센타 보수공사(제출)" xfId="1523" xr:uid="{00000000-0005-0000-0000-0000E3050000}"/>
    <cellStyle name="_사전원가심의1_벤처오피스빌딩_천안용곡1_울산천곡MH실행(재입찰)_전기공사(추가)" xfId="1524" xr:uid="{00000000-0005-0000-0000-0000E4050000}"/>
    <cellStyle name="_사전원가심의1_벤처오피스빌딩_천안용곡1_울산천곡MH실행(재입찰)_종로무악 MH공사(실행)" xfId="1525" xr:uid="{00000000-0005-0000-0000-0000E5050000}"/>
    <cellStyle name="_사전원가심의1_벤처오피스빌딩_천안용곡1_울산천곡설계비" xfId="1526" xr:uid="{00000000-0005-0000-0000-0000E6050000}"/>
    <cellStyle name="_사전원가심의1_벤처오피스빌딩_천안용곡1_울산천곡설계비_공용부" xfId="1527" xr:uid="{00000000-0005-0000-0000-0000E7050000}"/>
    <cellStyle name="_사전원가심의1_벤처오피스빌딩_천안용곡1_울산천곡설계비_공용부_공용부" xfId="1528" xr:uid="{00000000-0005-0000-0000-0000E8050000}"/>
    <cellStyle name="_사전원가심의1_벤처오피스빌딩_천안용곡1_울산천곡설계비_공용부_공용부_공용부" xfId="1529" xr:uid="{00000000-0005-0000-0000-0000E9050000}"/>
    <cellStyle name="_사전원가심의1_벤처오피스빌딩_천안용곡1_울산천곡설계비_광주운암내역서(현설용)" xfId="1530" xr:uid="{00000000-0005-0000-0000-0000EA050000}"/>
    <cellStyle name="_사전원가심의1_벤처오피스빌딩_천안용곡1_울산천곡설계비_목포남악내역서" xfId="1531" xr:uid="{00000000-0005-0000-0000-0000EB050000}"/>
    <cellStyle name="_사전원가심의1_벤처오피스빌딩_천안용곡1_울산천곡설계비_삼성동I'PARK스포츠센타 보수공사(제출)" xfId="1532" xr:uid="{00000000-0005-0000-0000-0000EC050000}"/>
    <cellStyle name="_사전원가심의1_벤처오피스빌딩_천안용곡1_울산천곡설계비_전기공사(추가)" xfId="1533" xr:uid="{00000000-0005-0000-0000-0000ED050000}"/>
    <cellStyle name="_사전원가심의1_벤처오피스빌딩_천안용곡1_울산천곡설계비_종로무악 MH공사(실행)" xfId="1534" xr:uid="{00000000-0005-0000-0000-0000EE050000}"/>
    <cellStyle name="_사전원가심의1_벤처오피스빌딩_천안용곡1_전기공사(추가)" xfId="1535" xr:uid="{00000000-0005-0000-0000-0000EF050000}"/>
    <cellStyle name="_사전원가심의1_벤처오피스빌딩_천안용곡1_종로무악 MH공사(실행)" xfId="1536" xr:uid="{00000000-0005-0000-0000-0000F0050000}"/>
    <cellStyle name="_사전원가심의1_벤처오피스빌딩_충주연수MH0308" xfId="1537" xr:uid="{00000000-0005-0000-0000-0000F1050000}"/>
    <cellStyle name="_사전원가심의1_벤처오피스빌딩_충주연수MH0308_경희대치과대학" xfId="1538" xr:uid="{00000000-0005-0000-0000-0000F2050000}"/>
    <cellStyle name="_사전원가심의1_벤처오피스빌딩_충주연수MH0308_경희대치과대학_공용부" xfId="1539" xr:uid="{00000000-0005-0000-0000-0000F3050000}"/>
    <cellStyle name="_사전원가심의1_벤처오피스빌딩_충주연수MH0308_경희대치과대학_공용부_공용부" xfId="1540" xr:uid="{00000000-0005-0000-0000-0000F4050000}"/>
    <cellStyle name="_사전원가심의1_벤처오피스빌딩_충주연수MH0308_경희대치과대학_공용부_공용부_공용부" xfId="1541" xr:uid="{00000000-0005-0000-0000-0000F5050000}"/>
    <cellStyle name="_사전원가심의1_벤처오피스빌딩_충주연수MH0308_경희대치과대학_광주운암내역서(현설용)" xfId="1542" xr:uid="{00000000-0005-0000-0000-0000F6050000}"/>
    <cellStyle name="_사전원가심의1_벤처오피스빌딩_충주연수MH0308_경희대치과대학_목포남악내역서" xfId="1543" xr:uid="{00000000-0005-0000-0000-0000F7050000}"/>
    <cellStyle name="_사전원가심의1_벤처오피스빌딩_충주연수MH0308_경희대치과대학_삼성동I'PARK스포츠센타 보수공사(제출)" xfId="1544" xr:uid="{00000000-0005-0000-0000-0000F8050000}"/>
    <cellStyle name="_사전원가심의1_벤처오피스빌딩_충주연수MH0308_경희대치과대학_전기공사(추가)" xfId="1545" xr:uid="{00000000-0005-0000-0000-0000F9050000}"/>
    <cellStyle name="_사전원가심의1_벤처오피스빌딩_충주연수MH0308_경희대치과대학_종로무악 MH공사(실행)" xfId="1546" xr:uid="{00000000-0005-0000-0000-0000FA050000}"/>
    <cellStyle name="_사전원가심의1_벤처오피스빌딩_충주연수MH0308_공내역서" xfId="1547" xr:uid="{00000000-0005-0000-0000-0000FB050000}"/>
    <cellStyle name="_사전원가심의1_벤처오피스빌딩_충주연수MH0308_공내역서_경희대치과대학" xfId="1548" xr:uid="{00000000-0005-0000-0000-0000FC050000}"/>
    <cellStyle name="_사전원가심의1_벤처오피스빌딩_충주연수MH0308_공내역서_경희대치과대학_공용부" xfId="1549" xr:uid="{00000000-0005-0000-0000-0000FD050000}"/>
    <cellStyle name="_사전원가심의1_벤처오피스빌딩_충주연수MH0308_공내역서_경희대치과대학_공용부_공용부" xfId="1550" xr:uid="{00000000-0005-0000-0000-0000FE050000}"/>
    <cellStyle name="_사전원가심의1_벤처오피스빌딩_충주연수MH0308_공내역서_경희대치과대학_공용부_공용부_공용부" xfId="1551" xr:uid="{00000000-0005-0000-0000-0000FF050000}"/>
    <cellStyle name="_사전원가심의1_벤처오피스빌딩_충주연수MH0308_공내역서_경희대치과대학_광주운암내역서(현설용)" xfId="1552" xr:uid="{00000000-0005-0000-0000-000000060000}"/>
    <cellStyle name="_사전원가심의1_벤처오피스빌딩_충주연수MH0308_공내역서_경희대치과대학_목포남악내역서" xfId="1553" xr:uid="{00000000-0005-0000-0000-000001060000}"/>
    <cellStyle name="_사전원가심의1_벤처오피스빌딩_충주연수MH0308_공내역서_경희대치과대학_삼성동I'PARK스포츠센타 보수공사(제출)" xfId="1554" xr:uid="{00000000-0005-0000-0000-000002060000}"/>
    <cellStyle name="_사전원가심의1_벤처오피스빌딩_충주연수MH0308_공내역서_경희대치과대학_전기공사(추가)" xfId="1555" xr:uid="{00000000-0005-0000-0000-000003060000}"/>
    <cellStyle name="_사전원가심의1_벤처오피스빌딩_충주연수MH0308_공내역서_경희대치과대학_종로무악 MH공사(실행)" xfId="1556" xr:uid="{00000000-0005-0000-0000-000004060000}"/>
    <cellStyle name="_사전원가심의1_벤처오피스빌딩_충주연수MH0308_공내역서_공용부" xfId="1557" xr:uid="{00000000-0005-0000-0000-000005060000}"/>
    <cellStyle name="_사전원가심의1_벤처오피스빌딩_충주연수MH0308_공내역서_공용부_공용부" xfId="1558" xr:uid="{00000000-0005-0000-0000-000006060000}"/>
    <cellStyle name="_사전원가심의1_벤처오피스빌딩_충주연수MH0308_공내역서_공용부_공용부_공용부" xfId="1559" xr:uid="{00000000-0005-0000-0000-000007060000}"/>
    <cellStyle name="_사전원가심의1_벤처오피스빌딩_충주연수MH0308_공내역서_광주운암내역서(현설용)" xfId="1560" xr:uid="{00000000-0005-0000-0000-000008060000}"/>
    <cellStyle name="_사전원가심의1_벤처오피스빌딩_충주연수MH0308_공내역서_목포남악내역서" xfId="1561" xr:uid="{00000000-0005-0000-0000-000009060000}"/>
    <cellStyle name="_사전원가심의1_벤처오피스빌딩_충주연수MH0308_공내역서_삼성동I'PARK스포츠센타 보수공사(제출)" xfId="1562" xr:uid="{00000000-0005-0000-0000-00000A060000}"/>
    <cellStyle name="_사전원가심의1_벤처오피스빌딩_충주연수MH0308_공내역서_울산천곡MH실행(재입찰)" xfId="1563" xr:uid="{00000000-0005-0000-0000-00000B060000}"/>
    <cellStyle name="_사전원가심의1_벤처오피스빌딩_충주연수MH0308_공내역서_울산천곡MH실행(재입찰)_공용부" xfId="1564" xr:uid="{00000000-0005-0000-0000-00000C060000}"/>
    <cellStyle name="_사전원가심의1_벤처오피스빌딩_충주연수MH0308_공내역서_울산천곡MH실행(재입찰)_공용부_공용부" xfId="1565" xr:uid="{00000000-0005-0000-0000-00000D060000}"/>
    <cellStyle name="_사전원가심의1_벤처오피스빌딩_충주연수MH0308_공내역서_울산천곡MH실행(재입찰)_공용부_공용부_공용부" xfId="1566" xr:uid="{00000000-0005-0000-0000-00000E060000}"/>
    <cellStyle name="_사전원가심의1_벤처오피스빌딩_충주연수MH0308_공내역서_울산천곡MH실행(재입찰)_광주운암내역서(현설용)" xfId="1567" xr:uid="{00000000-0005-0000-0000-00000F060000}"/>
    <cellStyle name="_사전원가심의1_벤처오피스빌딩_충주연수MH0308_공내역서_울산천곡MH실행(재입찰)_목포남악내역서" xfId="1568" xr:uid="{00000000-0005-0000-0000-000010060000}"/>
    <cellStyle name="_사전원가심의1_벤처오피스빌딩_충주연수MH0308_공내역서_울산천곡MH실행(재입찰)_삼성동I'PARK스포츠센타 보수공사(제출)" xfId="1569" xr:uid="{00000000-0005-0000-0000-000011060000}"/>
    <cellStyle name="_사전원가심의1_벤처오피스빌딩_충주연수MH0308_공내역서_울산천곡MH실행(재입찰)_전기공사(추가)" xfId="1570" xr:uid="{00000000-0005-0000-0000-000012060000}"/>
    <cellStyle name="_사전원가심의1_벤처오피스빌딩_충주연수MH0308_공내역서_울산천곡MH실행(재입찰)_종로무악 MH공사(실행)" xfId="1571" xr:uid="{00000000-0005-0000-0000-000013060000}"/>
    <cellStyle name="_사전원가심의1_벤처오피스빌딩_충주연수MH0308_공내역서_울산천곡설계비" xfId="1572" xr:uid="{00000000-0005-0000-0000-000014060000}"/>
    <cellStyle name="_사전원가심의1_벤처오피스빌딩_충주연수MH0308_공내역서_울산천곡설계비_공용부" xfId="1573" xr:uid="{00000000-0005-0000-0000-000015060000}"/>
    <cellStyle name="_사전원가심의1_벤처오피스빌딩_충주연수MH0308_공내역서_울산천곡설계비_공용부_공용부" xfId="1574" xr:uid="{00000000-0005-0000-0000-000016060000}"/>
    <cellStyle name="_사전원가심의1_벤처오피스빌딩_충주연수MH0308_공내역서_울산천곡설계비_공용부_공용부_공용부" xfId="1575" xr:uid="{00000000-0005-0000-0000-000017060000}"/>
    <cellStyle name="_사전원가심의1_벤처오피스빌딩_충주연수MH0308_공내역서_울산천곡설계비_광주운암내역서(현설용)" xfId="1576" xr:uid="{00000000-0005-0000-0000-000018060000}"/>
    <cellStyle name="_사전원가심의1_벤처오피스빌딩_충주연수MH0308_공내역서_울산천곡설계비_목포남악내역서" xfId="1577" xr:uid="{00000000-0005-0000-0000-000019060000}"/>
    <cellStyle name="_사전원가심의1_벤처오피스빌딩_충주연수MH0308_공내역서_울산천곡설계비_삼성동I'PARK스포츠센타 보수공사(제출)" xfId="1578" xr:uid="{00000000-0005-0000-0000-00001A060000}"/>
    <cellStyle name="_사전원가심의1_벤처오피스빌딩_충주연수MH0308_공내역서_울산천곡설계비_전기공사(추가)" xfId="1579" xr:uid="{00000000-0005-0000-0000-00001B060000}"/>
    <cellStyle name="_사전원가심의1_벤처오피스빌딩_충주연수MH0308_공내역서_울산천곡설계비_종로무악 MH공사(실행)" xfId="1580" xr:uid="{00000000-0005-0000-0000-00001C060000}"/>
    <cellStyle name="_사전원가심의1_벤처오피스빌딩_충주연수MH0308_공내역서_전기공사(추가)" xfId="1581" xr:uid="{00000000-0005-0000-0000-00001D060000}"/>
    <cellStyle name="_사전원가심의1_벤처오피스빌딩_충주연수MH0308_공내역서_종로무악 MH공사(실행)" xfId="1582" xr:uid="{00000000-0005-0000-0000-00001E060000}"/>
    <cellStyle name="_사전원가심의1_벤처오피스빌딩_충주연수MH0308_공용부" xfId="1583" xr:uid="{00000000-0005-0000-0000-00001F060000}"/>
    <cellStyle name="_사전원가심의1_벤처오피스빌딩_충주연수MH0308_공용부_공용부" xfId="1584" xr:uid="{00000000-0005-0000-0000-000020060000}"/>
    <cellStyle name="_사전원가심의1_벤처오피스빌딩_충주연수MH0308_공용부_공용부_공용부" xfId="1585" xr:uid="{00000000-0005-0000-0000-000021060000}"/>
    <cellStyle name="_사전원가심의1_벤처오피스빌딩_충주연수MH0308_광주운암내역서(현설용)" xfId="1586" xr:uid="{00000000-0005-0000-0000-000022060000}"/>
    <cellStyle name="_사전원가심의1_벤처오피스빌딩_충주연수MH0308_목포남악내역서" xfId="1587" xr:uid="{00000000-0005-0000-0000-000023060000}"/>
    <cellStyle name="_사전원가심의1_벤처오피스빌딩_충주연수MH0308_삼성동I'PARK스포츠센타 보수공사(제출)" xfId="1588" xr:uid="{00000000-0005-0000-0000-000024060000}"/>
    <cellStyle name="_사전원가심의1_벤처오피스빌딩_충주연수MH0308_울산천곡MH실행(재입찰)" xfId="1589" xr:uid="{00000000-0005-0000-0000-000025060000}"/>
    <cellStyle name="_사전원가심의1_벤처오피스빌딩_충주연수MH0308_울산천곡MH실행(재입찰)_공용부" xfId="1590" xr:uid="{00000000-0005-0000-0000-000026060000}"/>
    <cellStyle name="_사전원가심의1_벤처오피스빌딩_충주연수MH0308_울산천곡MH실행(재입찰)_공용부_공용부" xfId="1591" xr:uid="{00000000-0005-0000-0000-000027060000}"/>
    <cellStyle name="_사전원가심의1_벤처오피스빌딩_충주연수MH0308_울산천곡MH실행(재입찰)_공용부_공용부_공용부" xfId="1592" xr:uid="{00000000-0005-0000-0000-000028060000}"/>
    <cellStyle name="_사전원가심의1_벤처오피스빌딩_충주연수MH0308_울산천곡MH실행(재입찰)_광주운암내역서(현설용)" xfId="1593" xr:uid="{00000000-0005-0000-0000-000029060000}"/>
    <cellStyle name="_사전원가심의1_벤처오피스빌딩_충주연수MH0308_울산천곡MH실행(재입찰)_목포남악내역서" xfId="1594" xr:uid="{00000000-0005-0000-0000-00002A060000}"/>
    <cellStyle name="_사전원가심의1_벤처오피스빌딩_충주연수MH0308_울산천곡MH실행(재입찰)_삼성동I'PARK스포츠센타 보수공사(제출)" xfId="1595" xr:uid="{00000000-0005-0000-0000-00002B060000}"/>
    <cellStyle name="_사전원가심의1_벤처오피스빌딩_충주연수MH0308_울산천곡MH실행(재입찰)_전기공사(추가)" xfId="1596" xr:uid="{00000000-0005-0000-0000-00002C060000}"/>
    <cellStyle name="_사전원가심의1_벤처오피스빌딩_충주연수MH0308_울산천곡MH실행(재입찰)_종로무악 MH공사(실행)" xfId="1597" xr:uid="{00000000-0005-0000-0000-00002D060000}"/>
    <cellStyle name="_사전원가심의1_벤처오피스빌딩_충주연수MH0308_울산천곡설계비" xfId="1598" xr:uid="{00000000-0005-0000-0000-00002E060000}"/>
    <cellStyle name="_사전원가심의1_벤처오피스빌딩_충주연수MH0308_울산천곡설계비_공용부" xfId="1599" xr:uid="{00000000-0005-0000-0000-00002F060000}"/>
    <cellStyle name="_사전원가심의1_벤처오피스빌딩_충주연수MH0308_울산천곡설계비_공용부_공용부" xfId="1600" xr:uid="{00000000-0005-0000-0000-000030060000}"/>
    <cellStyle name="_사전원가심의1_벤처오피스빌딩_충주연수MH0308_울산천곡설계비_공용부_공용부_공용부" xfId="1601" xr:uid="{00000000-0005-0000-0000-000031060000}"/>
    <cellStyle name="_사전원가심의1_벤처오피스빌딩_충주연수MH0308_울산천곡설계비_광주운암내역서(현설용)" xfId="1602" xr:uid="{00000000-0005-0000-0000-000032060000}"/>
    <cellStyle name="_사전원가심의1_벤처오피스빌딩_충주연수MH0308_울산천곡설계비_목포남악내역서" xfId="1603" xr:uid="{00000000-0005-0000-0000-000033060000}"/>
    <cellStyle name="_사전원가심의1_벤처오피스빌딩_충주연수MH0308_울산천곡설계비_삼성동I'PARK스포츠센타 보수공사(제출)" xfId="1604" xr:uid="{00000000-0005-0000-0000-000034060000}"/>
    <cellStyle name="_사전원가심의1_벤처오피스빌딩_충주연수MH0308_울산천곡설계비_전기공사(추가)" xfId="1605" xr:uid="{00000000-0005-0000-0000-000035060000}"/>
    <cellStyle name="_사전원가심의1_벤처오피스빌딩_충주연수MH0308_울산천곡설계비_종로무악 MH공사(실행)" xfId="1606" xr:uid="{00000000-0005-0000-0000-000036060000}"/>
    <cellStyle name="_사전원가심의1_벤처오피스빌딩_충주연수MH0308_전기공사(추가)" xfId="1607" xr:uid="{00000000-0005-0000-0000-000037060000}"/>
    <cellStyle name="_사전원가심의1_벤처오피스빌딩_충주연수MH0308_종로무악 MH공사(실행)" xfId="1608" xr:uid="{00000000-0005-0000-0000-000038060000}"/>
    <cellStyle name="_사전원가심의1_삼성동I'PARK스포츠센타 보수공사(제출)" xfId="1609" xr:uid="{00000000-0005-0000-0000-000039060000}"/>
    <cellStyle name="_사전원가심의1_실행" xfId="1610" xr:uid="{00000000-0005-0000-0000-00003A060000}"/>
    <cellStyle name="_사전원가심의1_실행_경희대치과대학" xfId="1611" xr:uid="{00000000-0005-0000-0000-00003B060000}"/>
    <cellStyle name="_사전원가심의1_실행_경희대치과대학_공용부" xfId="1612" xr:uid="{00000000-0005-0000-0000-00003C060000}"/>
    <cellStyle name="_사전원가심의1_실행_경희대치과대학_공용부_공용부" xfId="1613" xr:uid="{00000000-0005-0000-0000-00003D060000}"/>
    <cellStyle name="_사전원가심의1_실행_경희대치과대학_공용부_공용부_공용부" xfId="1614" xr:uid="{00000000-0005-0000-0000-00003E060000}"/>
    <cellStyle name="_사전원가심의1_실행_경희대치과대학_광주운암내역서(현설용)" xfId="1615" xr:uid="{00000000-0005-0000-0000-00003F060000}"/>
    <cellStyle name="_사전원가심의1_실행_경희대치과대학_목포남악내역서" xfId="1616" xr:uid="{00000000-0005-0000-0000-000040060000}"/>
    <cellStyle name="_사전원가심의1_실행_경희대치과대학_삼성동I'PARK스포츠센타 보수공사(제출)" xfId="1617" xr:uid="{00000000-0005-0000-0000-000041060000}"/>
    <cellStyle name="_사전원가심의1_실행_경희대치과대학_전기공사(추가)" xfId="1618" xr:uid="{00000000-0005-0000-0000-000042060000}"/>
    <cellStyle name="_사전원가심의1_실행_경희대치과대학_종로무악 MH공사(실행)" xfId="1619" xr:uid="{00000000-0005-0000-0000-000043060000}"/>
    <cellStyle name="_사전원가심의1_실행_공용부" xfId="1620" xr:uid="{00000000-0005-0000-0000-000044060000}"/>
    <cellStyle name="_사전원가심의1_실행_공용부_공용부" xfId="1621" xr:uid="{00000000-0005-0000-0000-000045060000}"/>
    <cellStyle name="_사전원가심의1_실행_공용부_공용부_공용부" xfId="1622" xr:uid="{00000000-0005-0000-0000-000046060000}"/>
    <cellStyle name="_사전원가심의1_실행_광주운암내역서(현설용)" xfId="1623" xr:uid="{00000000-0005-0000-0000-000047060000}"/>
    <cellStyle name="_사전원가심의1_실행_목포남악내역서" xfId="1624" xr:uid="{00000000-0005-0000-0000-000048060000}"/>
    <cellStyle name="_사전원가심의1_실행_삼성동I'PARK스포츠센타 보수공사(제출)" xfId="1625" xr:uid="{00000000-0005-0000-0000-000049060000}"/>
    <cellStyle name="_사전원가심의1_실행_울산천곡MH실행(재입찰)" xfId="1626" xr:uid="{00000000-0005-0000-0000-00004A060000}"/>
    <cellStyle name="_사전원가심의1_실행_울산천곡MH실행(재입찰)_공용부" xfId="1627" xr:uid="{00000000-0005-0000-0000-00004B060000}"/>
    <cellStyle name="_사전원가심의1_실행_울산천곡MH실행(재입찰)_공용부_공용부" xfId="1628" xr:uid="{00000000-0005-0000-0000-00004C060000}"/>
    <cellStyle name="_사전원가심의1_실행_울산천곡MH실행(재입찰)_공용부_공용부_공용부" xfId="1629" xr:uid="{00000000-0005-0000-0000-00004D060000}"/>
    <cellStyle name="_사전원가심의1_실행_울산천곡MH실행(재입찰)_광주운암내역서(현설용)" xfId="1630" xr:uid="{00000000-0005-0000-0000-00004E060000}"/>
    <cellStyle name="_사전원가심의1_실행_울산천곡MH실행(재입찰)_목포남악내역서" xfId="1631" xr:uid="{00000000-0005-0000-0000-00004F060000}"/>
    <cellStyle name="_사전원가심의1_실행_울산천곡MH실행(재입찰)_삼성동I'PARK스포츠센타 보수공사(제출)" xfId="1632" xr:uid="{00000000-0005-0000-0000-000050060000}"/>
    <cellStyle name="_사전원가심의1_실행_울산천곡MH실행(재입찰)_전기공사(추가)" xfId="1633" xr:uid="{00000000-0005-0000-0000-000051060000}"/>
    <cellStyle name="_사전원가심의1_실행_울산천곡MH실행(재입찰)_종로무악 MH공사(실행)" xfId="1634" xr:uid="{00000000-0005-0000-0000-000052060000}"/>
    <cellStyle name="_사전원가심의1_실행_울산천곡설계비" xfId="1635" xr:uid="{00000000-0005-0000-0000-000053060000}"/>
    <cellStyle name="_사전원가심의1_실행_울산천곡설계비_공용부" xfId="1636" xr:uid="{00000000-0005-0000-0000-000054060000}"/>
    <cellStyle name="_사전원가심의1_실행_울산천곡설계비_공용부_공용부" xfId="1637" xr:uid="{00000000-0005-0000-0000-000055060000}"/>
    <cellStyle name="_사전원가심의1_실행_울산천곡설계비_공용부_공용부_공용부" xfId="1638" xr:uid="{00000000-0005-0000-0000-000056060000}"/>
    <cellStyle name="_사전원가심의1_실행_울산천곡설계비_광주운암내역서(현설용)" xfId="1639" xr:uid="{00000000-0005-0000-0000-000057060000}"/>
    <cellStyle name="_사전원가심의1_실행_울산천곡설계비_목포남악내역서" xfId="1640" xr:uid="{00000000-0005-0000-0000-000058060000}"/>
    <cellStyle name="_사전원가심의1_실행_울산천곡설계비_삼성동I'PARK스포츠센타 보수공사(제출)" xfId="1641" xr:uid="{00000000-0005-0000-0000-000059060000}"/>
    <cellStyle name="_사전원가심의1_실행_울산천곡설계비_전기공사(추가)" xfId="1642" xr:uid="{00000000-0005-0000-0000-00005A060000}"/>
    <cellStyle name="_사전원가심의1_실행_울산천곡설계비_종로무악 MH공사(실행)" xfId="1643" xr:uid="{00000000-0005-0000-0000-00005B060000}"/>
    <cellStyle name="_사전원가심의1_실행_전기공사(추가)" xfId="1644" xr:uid="{00000000-0005-0000-0000-00005C060000}"/>
    <cellStyle name="_사전원가심의1_실행_종로무악 MH공사(실행)" xfId="1645" xr:uid="{00000000-0005-0000-0000-00005D060000}"/>
    <cellStyle name="_사전원가심의1_예가" xfId="1646" xr:uid="{00000000-0005-0000-0000-00005E060000}"/>
    <cellStyle name="_사전원가심의1_예가_경희대치과대학" xfId="1647" xr:uid="{00000000-0005-0000-0000-00005F060000}"/>
    <cellStyle name="_사전원가심의1_예가_경희대치과대학_공용부" xfId="1648" xr:uid="{00000000-0005-0000-0000-000060060000}"/>
    <cellStyle name="_사전원가심의1_예가_경희대치과대학_공용부_공용부" xfId="1649" xr:uid="{00000000-0005-0000-0000-000061060000}"/>
    <cellStyle name="_사전원가심의1_예가_경희대치과대학_공용부_공용부_공용부" xfId="1650" xr:uid="{00000000-0005-0000-0000-000062060000}"/>
    <cellStyle name="_사전원가심의1_예가_경희대치과대학_광주운암내역서(현설용)" xfId="1651" xr:uid="{00000000-0005-0000-0000-000063060000}"/>
    <cellStyle name="_사전원가심의1_예가_경희대치과대학_목포남악내역서" xfId="1652" xr:uid="{00000000-0005-0000-0000-000064060000}"/>
    <cellStyle name="_사전원가심의1_예가_경희대치과대학_삼성동I'PARK스포츠센타 보수공사(제출)" xfId="1653" xr:uid="{00000000-0005-0000-0000-000065060000}"/>
    <cellStyle name="_사전원가심의1_예가_경희대치과대학_전기공사(추가)" xfId="1654" xr:uid="{00000000-0005-0000-0000-000066060000}"/>
    <cellStyle name="_사전원가심의1_예가_경희대치과대학_종로무악 MH공사(실행)" xfId="1655" xr:uid="{00000000-0005-0000-0000-000067060000}"/>
    <cellStyle name="_사전원가심의1_예가_공용부" xfId="1656" xr:uid="{00000000-0005-0000-0000-000068060000}"/>
    <cellStyle name="_사전원가심의1_예가_공용부_공용부" xfId="1657" xr:uid="{00000000-0005-0000-0000-000069060000}"/>
    <cellStyle name="_사전원가심의1_예가_공용부_공용부_공용부" xfId="1658" xr:uid="{00000000-0005-0000-0000-00006A060000}"/>
    <cellStyle name="_사전원가심의1_예가_광주운암내역서(현설용)" xfId="1659" xr:uid="{00000000-0005-0000-0000-00006B060000}"/>
    <cellStyle name="_사전원가심의1_예가_목포남악내역서" xfId="1660" xr:uid="{00000000-0005-0000-0000-00006C060000}"/>
    <cellStyle name="_사전원가심의1_예가_삼성동I'PARK스포츠센타 보수공사(제출)" xfId="1661" xr:uid="{00000000-0005-0000-0000-00006D060000}"/>
    <cellStyle name="_사전원가심의1_예가_울산천곡MH실행(재입찰)" xfId="1662" xr:uid="{00000000-0005-0000-0000-00006E060000}"/>
    <cellStyle name="_사전원가심의1_예가_울산천곡MH실행(재입찰)_공용부" xfId="1663" xr:uid="{00000000-0005-0000-0000-00006F060000}"/>
    <cellStyle name="_사전원가심의1_예가_울산천곡MH실행(재입찰)_공용부_공용부" xfId="1664" xr:uid="{00000000-0005-0000-0000-000070060000}"/>
    <cellStyle name="_사전원가심의1_예가_울산천곡MH실행(재입찰)_공용부_공용부_공용부" xfId="1665" xr:uid="{00000000-0005-0000-0000-000071060000}"/>
    <cellStyle name="_사전원가심의1_예가_울산천곡MH실행(재입찰)_광주운암내역서(현설용)" xfId="1666" xr:uid="{00000000-0005-0000-0000-000072060000}"/>
    <cellStyle name="_사전원가심의1_예가_울산천곡MH실행(재입찰)_목포남악내역서" xfId="1667" xr:uid="{00000000-0005-0000-0000-000073060000}"/>
    <cellStyle name="_사전원가심의1_예가_울산천곡MH실행(재입찰)_삼성동I'PARK스포츠센타 보수공사(제출)" xfId="1668" xr:uid="{00000000-0005-0000-0000-000074060000}"/>
    <cellStyle name="_사전원가심의1_예가_울산천곡MH실행(재입찰)_전기공사(추가)" xfId="1669" xr:uid="{00000000-0005-0000-0000-000075060000}"/>
    <cellStyle name="_사전원가심의1_예가_울산천곡MH실행(재입찰)_종로무악 MH공사(실행)" xfId="1670" xr:uid="{00000000-0005-0000-0000-000076060000}"/>
    <cellStyle name="_사전원가심의1_예가_울산천곡설계비" xfId="1671" xr:uid="{00000000-0005-0000-0000-000077060000}"/>
    <cellStyle name="_사전원가심의1_예가_울산천곡설계비_공용부" xfId="1672" xr:uid="{00000000-0005-0000-0000-000078060000}"/>
    <cellStyle name="_사전원가심의1_예가_울산천곡설계비_공용부_공용부" xfId="1673" xr:uid="{00000000-0005-0000-0000-000079060000}"/>
    <cellStyle name="_사전원가심의1_예가_울산천곡설계비_공용부_공용부_공용부" xfId="1674" xr:uid="{00000000-0005-0000-0000-00007A060000}"/>
    <cellStyle name="_사전원가심의1_예가_울산천곡설계비_광주운암내역서(현설용)" xfId="1675" xr:uid="{00000000-0005-0000-0000-00007B060000}"/>
    <cellStyle name="_사전원가심의1_예가_울산천곡설계비_목포남악내역서" xfId="1676" xr:uid="{00000000-0005-0000-0000-00007C060000}"/>
    <cellStyle name="_사전원가심의1_예가_울산천곡설계비_삼성동I'PARK스포츠센타 보수공사(제출)" xfId="1677" xr:uid="{00000000-0005-0000-0000-00007D060000}"/>
    <cellStyle name="_사전원가심의1_예가_울산천곡설계비_전기공사(추가)" xfId="1678" xr:uid="{00000000-0005-0000-0000-00007E060000}"/>
    <cellStyle name="_사전원가심의1_예가_울산천곡설계비_종로무악 MH공사(실행)" xfId="1679" xr:uid="{00000000-0005-0000-0000-00007F060000}"/>
    <cellStyle name="_사전원가심의1_예가_전기공사(추가)" xfId="1680" xr:uid="{00000000-0005-0000-0000-000080060000}"/>
    <cellStyle name="_사전원가심의1_예가_종로무악 MH공사(실행)" xfId="1681" xr:uid="{00000000-0005-0000-0000-000081060000}"/>
    <cellStyle name="_사전원가심의1_울산천곡MH실행(재입찰)" xfId="1682" xr:uid="{00000000-0005-0000-0000-000082060000}"/>
    <cellStyle name="_사전원가심의1_울산천곡MH실행(재입찰)_공용부" xfId="1683" xr:uid="{00000000-0005-0000-0000-000083060000}"/>
    <cellStyle name="_사전원가심의1_울산천곡MH실행(재입찰)_공용부_공용부" xfId="1684" xr:uid="{00000000-0005-0000-0000-000084060000}"/>
    <cellStyle name="_사전원가심의1_울산천곡MH실행(재입찰)_공용부_공용부_공용부" xfId="1685" xr:uid="{00000000-0005-0000-0000-000085060000}"/>
    <cellStyle name="_사전원가심의1_울산천곡MH실행(재입찰)_광주운암내역서(현설용)" xfId="1686" xr:uid="{00000000-0005-0000-0000-000086060000}"/>
    <cellStyle name="_사전원가심의1_울산천곡MH실행(재입찰)_목포남악내역서" xfId="1687" xr:uid="{00000000-0005-0000-0000-000087060000}"/>
    <cellStyle name="_사전원가심의1_울산천곡MH실행(재입찰)_삼성동I'PARK스포츠센타 보수공사(제출)" xfId="1688" xr:uid="{00000000-0005-0000-0000-000088060000}"/>
    <cellStyle name="_사전원가심의1_울산천곡MH실행(재입찰)_전기공사(추가)" xfId="1689" xr:uid="{00000000-0005-0000-0000-000089060000}"/>
    <cellStyle name="_사전원가심의1_울산천곡MH실행(재입찰)_종로무악 MH공사(실행)" xfId="1690" xr:uid="{00000000-0005-0000-0000-00008A060000}"/>
    <cellStyle name="_사전원가심의1_울산천곡동" xfId="1691" xr:uid="{00000000-0005-0000-0000-00008B060000}"/>
    <cellStyle name="_사전원가심의1_울산천곡동(0920공내역서)" xfId="1692" xr:uid="{00000000-0005-0000-0000-00008C060000}"/>
    <cellStyle name="_사전원가심의1_울산천곡동(0920공내역서)_경희대치과대학" xfId="1693" xr:uid="{00000000-0005-0000-0000-00008D060000}"/>
    <cellStyle name="_사전원가심의1_울산천곡동(0920공내역서)_경희대치과대학_공용부" xfId="1694" xr:uid="{00000000-0005-0000-0000-00008E060000}"/>
    <cellStyle name="_사전원가심의1_울산천곡동(0920공내역서)_경희대치과대학_공용부_공용부" xfId="1695" xr:uid="{00000000-0005-0000-0000-00008F060000}"/>
    <cellStyle name="_사전원가심의1_울산천곡동(0920공내역서)_경희대치과대학_공용부_공용부_공용부" xfId="1696" xr:uid="{00000000-0005-0000-0000-000090060000}"/>
    <cellStyle name="_사전원가심의1_울산천곡동(0920공내역서)_경희대치과대학_광주운암내역서(현설용)" xfId="1697" xr:uid="{00000000-0005-0000-0000-000091060000}"/>
    <cellStyle name="_사전원가심의1_울산천곡동(0920공내역서)_경희대치과대학_목포남악내역서" xfId="1698" xr:uid="{00000000-0005-0000-0000-000092060000}"/>
    <cellStyle name="_사전원가심의1_울산천곡동(0920공내역서)_경희대치과대학_삼성동I'PARK스포츠센타 보수공사(제출)" xfId="1699" xr:uid="{00000000-0005-0000-0000-000093060000}"/>
    <cellStyle name="_사전원가심의1_울산천곡동(0920공내역서)_경희대치과대학_전기공사(추가)" xfId="1700" xr:uid="{00000000-0005-0000-0000-000094060000}"/>
    <cellStyle name="_사전원가심의1_울산천곡동(0920공내역서)_경희대치과대학_종로무악 MH공사(실행)" xfId="1701" xr:uid="{00000000-0005-0000-0000-000095060000}"/>
    <cellStyle name="_사전원가심의1_울산천곡동(0920공내역서)_공내역서" xfId="1702" xr:uid="{00000000-0005-0000-0000-000096060000}"/>
    <cellStyle name="_사전원가심의1_울산천곡동(0920공내역서)_공내역서_경희대치과대학" xfId="1703" xr:uid="{00000000-0005-0000-0000-000097060000}"/>
    <cellStyle name="_사전원가심의1_울산천곡동(0920공내역서)_공내역서_경희대치과대학_공용부" xfId="1704" xr:uid="{00000000-0005-0000-0000-000098060000}"/>
    <cellStyle name="_사전원가심의1_울산천곡동(0920공내역서)_공내역서_경희대치과대학_공용부_공용부" xfId="1705" xr:uid="{00000000-0005-0000-0000-000099060000}"/>
    <cellStyle name="_사전원가심의1_울산천곡동(0920공내역서)_공내역서_경희대치과대학_공용부_공용부_공용부" xfId="1706" xr:uid="{00000000-0005-0000-0000-00009A060000}"/>
    <cellStyle name="_사전원가심의1_울산천곡동(0920공내역서)_공내역서_경희대치과대학_광주운암내역서(현설용)" xfId="1707" xr:uid="{00000000-0005-0000-0000-00009B060000}"/>
    <cellStyle name="_사전원가심의1_울산천곡동(0920공내역서)_공내역서_경희대치과대학_목포남악내역서" xfId="1708" xr:uid="{00000000-0005-0000-0000-00009C060000}"/>
    <cellStyle name="_사전원가심의1_울산천곡동(0920공내역서)_공내역서_경희대치과대학_삼성동I'PARK스포츠센타 보수공사(제출)" xfId="1709" xr:uid="{00000000-0005-0000-0000-00009D060000}"/>
    <cellStyle name="_사전원가심의1_울산천곡동(0920공내역서)_공내역서_경희대치과대학_전기공사(추가)" xfId="1710" xr:uid="{00000000-0005-0000-0000-00009E060000}"/>
    <cellStyle name="_사전원가심의1_울산천곡동(0920공내역서)_공내역서_경희대치과대학_종로무악 MH공사(실행)" xfId="1711" xr:uid="{00000000-0005-0000-0000-00009F060000}"/>
    <cellStyle name="_사전원가심의1_울산천곡동(0920공내역서)_공내역서_공용부" xfId="1712" xr:uid="{00000000-0005-0000-0000-0000A0060000}"/>
    <cellStyle name="_사전원가심의1_울산천곡동(0920공내역서)_공내역서_공용부_공용부" xfId="1713" xr:uid="{00000000-0005-0000-0000-0000A1060000}"/>
    <cellStyle name="_사전원가심의1_울산천곡동(0920공내역서)_공내역서_공용부_공용부_공용부" xfId="1714" xr:uid="{00000000-0005-0000-0000-0000A2060000}"/>
    <cellStyle name="_사전원가심의1_울산천곡동(0920공내역서)_공내역서_광주운암내역서(현설용)" xfId="1715" xr:uid="{00000000-0005-0000-0000-0000A3060000}"/>
    <cellStyle name="_사전원가심의1_울산천곡동(0920공내역서)_공내역서_목포남악내역서" xfId="1716" xr:uid="{00000000-0005-0000-0000-0000A4060000}"/>
    <cellStyle name="_사전원가심의1_울산천곡동(0920공내역서)_공내역서_삼성동I'PARK스포츠센타 보수공사(제출)" xfId="1717" xr:uid="{00000000-0005-0000-0000-0000A5060000}"/>
    <cellStyle name="_사전원가심의1_울산천곡동(0920공내역서)_공내역서_울산천곡MH실행(재입찰)" xfId="1718" xr:uid="{00000000-0005-0000-0000-0000A6060000}"/>
    <cellStyle name="_사전원가심의1_울산천곡동(0920공내역서)_공내역서_울산천곡MH실행(재입찰)_공용부" xfId="1719" xr:uid="{00000000-0005-0000-0000-0000A7060000}"/>
    <cellStyle name="_사전원가심의1_울산천곡동(0920공내역서)_공내역서_울산천곡MH실행(재입찰)_공용부_공용부" xfId="1720" xr:uid="{00000000-0005-0000-0000-0000A8060000}"/>
    <cellStyle name="_사전원가심의1_울산천곡동(0920공내역서)_공내역서_울산천곡MH실행(재입찰)_공용부_공용부_공용부" xfId="1721" xr:uid="{00000000-0005-0000-0000-0000A9060000}"/>
    <cellStyle name="_사전원가심의1_울산천곡동(0920공내역서)_공내역서_울산천곡MH실행(재입찰)_광주운암내역서(현설용)" xfId="1722" xr:uid="{00000000-0005-0000-0000-0000AA060000}"/>
    <cellStyle name="_사전원가심의1_울산천곡동(0920공내역서)_공내역서_울산천곡MH실행(재입찰)_목포남악내역서" xfId="1723" xr:uid="{00000000-0005-0000-0000-0000AB060000}"/>
    <cellStyle name="_사전원가심의1_울산천곡동(0920공내역서)_공내역서_울산천곡MH실행(재입찰)_삼성동I'PARK스포츠센타 보수공사(제출)" xfId="1724" xr:uid="{00000000-0005-0000-0000-0000AC060000}"/>
    <cellStyle name="_사전원가심의1_울산천곡동(0920공내역서)_공내역서_울산천곡MH실행(재입찰)_전기공사(추가)" xfId="1725" xr:uid="{00000000-0005-0000-0000-0000AD060000}"/>
    <cellStyle name="_사전원가심의1_울산천곡동(0920공내역서)_공내역서_울산천곡MH실행(재입찰)_종로무악 MH공사(실행)" xfId="1726" xr:uid="{00000000-0005-0000-0000-0000AE060000}"/>
    <cellStyle name="_사전원가심의1_울산천곡동(0920공내역서)_공내역서_울산천곡설계비" xfId="1727" xr:uid="{00000000-0005-0000-0000-0000AF060000}"/>
    <cellStyle name="_사전원가심의1_울산천곡동(0920공내역서)_공내역서_울산천곡설계비_공용부" xfId="1728" xr:uid="{00000000-0005-0000-0000-0000B0060000}"/>
    <cellStyle name="_사전원가심의1_울산천곡동(0920공내역서)_공내역서_울산천곡설계비_공용부_공용부" xfId="1729" xr:uid="{00000000-0005-0000-0000-0000B1060000}"/>
    <cellStyle name="_사전원가심의1_울산천곡동(0920공내역서)_공내역서_울산천곡설계비_공용부_공용부_공용부" xfId="1730" xr:uid="{00000000-0005-0000-0000-0000B2060000}"/>
    <cellStyle name="_사전원가심의1_울산천곡동(0920공내역서)_공내역서_울산천곡설계비_광주운암내역서(현설용)" xfId="1731" xr:uid="{00000000-0005-0000-0000-0000B3060000}"/>
    <cellStyle name="_사전원가심의1_울산천곡동(0920공내역서)_공내역서_울산천곡설계비_목포남악내역서" xfId="1732" xr:uid="{00000000-0005-0000-0000-0000B4060000}"/>
    <cellStyle name="_사전원가심의1_울산천곡동(0920공내역서)_공내역서_울산천곡설계비_삼성동I'PARK스포츠센타 보수공사(제출)" xfId="1733" xr:uid="{00000000-0005-0000-0000-0000B5060000}"/>
    <cellStyle name="_사전원가심의1_울산천곡동(0920공내역서)_공내역서_울산천곡설계비_전기공사(추가)" xfId="1734" xr:uid="{00000000-0005-0000-0000-0000B6060000}"/>
    <cellStyle name="_사전원가심의1_울산천곡동(0920공내역서)_공내역서_울산천곡설계비_종로무악 MH공사(실행)" xfId="1735" xr:uid="{00000000-0005-0000-0000-0000B7060000}"/>
    <cellStyle name="_사전원가심의1_울산천곡동(0920공내역서)_공내역서_전기공사(추가)" xfId="1736" xr:uid="{00000000-0005-0000-0000-0000B8060000}"/>
    <cellStyle name="_사전원가심의1_울산천곡동(0920공내역서)_공내역서_종로무악 MH공사(실행)" xfId="1737" xr:uid="{00000000-0005-0000-0000-0000B9060000}"/>
    <cellStyle name="_사전원가심의1_울산천곡동(0920공내역서)_공용부" xfId="1738" xr:uid="{00000000-0005-0000-0000-0000BA060000}"/>
    <cellStyle name="_사전원가심의1_울산천곡동(0920공내역서)_공용부_공용부" xfId="1739" xr:uid="{00000000-0005-0000-0000-0000BB060000}"/>
    <cellStyle name="_사전원가심의1_울산천곡동(0920공내역서)_공용부_공용부_공용부" xfId="1740" xr:uid="{00000000-0005-0000-0000-0000BC060000}"/>
    <cellStyle name="_사전원가심의1_울산천곡동(0920공내역서)_광주운암내역서(현설용)" xfId="1741" xr:uid="{00000000-0005-0000-0000-0000BD060000}"/>
    <cellStyle name="_사전원가심의1_울산천곡동(0920공내역서)_목포남악내역서" xfId="1742" xr:uid="{00000000-0005-0000-0000-0000BE060000}"/>
    <cellStyle name="_사전원가심의1_울산천곡동(0920공내역서)_삼성동I'PARK스포츠센타 보수공사(제출)" xfId="1743" xr:uid="{00000000-0005-0000-0000-0000BF060000}"/>
    <cellStyle name="_사전원가심의1_울산천곡동(0920공내역서)_울산천곡MH실행(재입찰)" xfId="1744" xr:uid="{00000000-0005-0000-0000-0000C0060000}"/>
    <cellStyle name="_사전원가심의1_울산천곡동(0920공내역서)_울산천곡MH실행(재입찰)_공용부" xfId="1745" xr:uid="{00000000-0005-0000-0000-0000C1060000}"/>
    <cellStyle name="_사전원가심의1_울산천곡동(0920공내역서)_울산천곡MH실행(재입찰)_공용부_공용부" xfId="1746" xr:uid="{00000000-0005-0000-0000-0000C2060000}"/>
    <cellStyle name="_사전원가심의1_울산천곡동(0920공내역서)_울산천곡MH실행(재입찰)_공용부_공용부_공용부" xfId="1747" xr:uid="{00000000-0005-0000-0000-0000C3060000}"/>
    <cellStyle name="_사전원가심의1_울산천곡동(0920공내역서)_울산천곡MH실행(재입찰)_광주운암내역서(현설용)" xfId="1748" xr:uid="{00000000-0005-0000-0000-0000C4060000}"/>
    <cellStyle name="_사전원가심의1_울산천곡동(0920공내역서)_울산천곡MH실행(재입찰)_목포남악내역서" xfId="1749" xr:uid="{00000000-0005-0000-0000-0000C5060000}"/>
    <cellStyle name="_사전원가심의1_울산천곡동(0920공내역서)_울산천곡MH실행(재입찰)_삼성동I'PARK스포츠센타 보수공사(제출)" xfId="1750" xr:uid="{00000000-0005-0000-0000-0000C6060000}"/>
    <cellStyle name="_사전원가심의1_울산천곡동(0920공내역서)_울산천곡MH실행(재입찰)_전기공사(추가)" xfId="1751" xr:uid="{00000000-0005-0000-0000-0000C7060000}"/>
    <cellStyle name="_사전원가심의1_울산천곡동(0920공내역서)_울산천곡MH실행(재입찰)_종로무악 MH공사(실행)" xfId="1752" xr:uid="{00000000-0005-0000-0000-0000C8060000}"/>
    <cellStyle name="_사전원가심의1_울산천곡동(0920공내역서)_울산천곡설계비" xfId="1753" xr:uid="{00000000-0005-0000-0000-0000C9060000}"/>
    <cellStyle name="_사전원가심의1_울산천곡동(0920공내역서)_울산천곡설계비_공용부" xfId="1754" xr:uid="{00000000-0005-0000-0000-0000CA060000}"/>
    <cellStyle name="_사전원가심의1_울산천곡동(0920공내역서)_울산천곡설계비_공용부_공용부" xfId="1755" xr:uid="{00000000-0005-0000-0000-0000CB060000}"/>
    <cellStyle name="_사전원가심의1_울산천곡동(0920공내역서)_울산천곡설계비_공용부_공용부_공용부" xfId="1756" xr:uid="{00000000-0005-0000-0000-0000CC060000}"/>
    <cellStyle name="_사전원가심의1_울산천곡동(0920공내역서)_울산천곡설계비_광주운암내역서(현설용)" xfId="1757" xr:uid="{00000000-0005-0000-0000-0000CD060000}"/>
    <cellStyle name="_사전원가심의1_울산천곡동(0920공내역서)_울산천곡설계비_목포남악내역서" xfId="1758" xr:uid="{00000000-0005-0000-0000-0000CE060000}"/>
    <cellStyle name="_사전원가심의1_울산천곡동(0920공내역서)_울산천곡설계비_삼성동I'PARK스포츠센타 보수공사(제출)" xfId="1759" xr:uid="{00000000-0005-0000-0000-0000CF060000}"/>
    <cellStyle name="_사전원가심의1_울산천곡동(0920공내역서)_울산천곡설계비_전기공사(추가)" xfId="1760" xr:uid="{00000000-0005-0000-0000-0000D0060000}"/>
    <cellStyle name="_사전원가심의1_울산천곡동(0920공내역서)_울산천곡설계비_종로무악 MH공사(실행)" xfId="1761" xr:uid="{00000000-0005-0000-0000-0000D1060000}"/>
    <cellStyle name="_사전원가심의1_울산천곡동(0920공내역서)_전기공사(추가)" xfId="1762" xr:uid="{00000000-0005-0000-0000-0000D2060000}"/>
    <cellStyle name="_사전원가심의1_울산천곡동(0920공내역서)_종로무악 MH공사(실행)" xfId="1763" xr:uid="{00000000-0005-0000-0000-0000D3060000}"/>
    <cellStyle name="_사전원가심의1_울산천곡동(도면변경0916)예가송부" xfId="1764" xr:uid="{00000000-0005-0000-0000-0000D4060000}"/>
    <cellStyle name="_사전원가심의1_울산천곡동(도면변경0916)예가송부_경희대치과대학" xfId="1765" xr:uid="{00000000-0005-0000-0000-0000D5060000}"/>
    <cellStyle name="_사전원가심의1_울산천곡동(도면변경0916)예가송부_경희대치과대학_공용부" xfId="1766" xr:uid="{00000000-0005-0000-0000-0000D6060000}"/>
    <cellStyle name="_사전원가심의1_울산천곡동(도면변경0916)예가송부_경희대치과대학_공용부_공용부" xfId="1767" xr:uid="{00000000-0005-0000-0000-0000D7060000}"/>
    <cellStyle name="_사전원가심의1_울산천곡동(도면변경0916)예가송부_경희대치과대학_공용부_공용부_공용부" xfId="1768" xr:uid="{00000000-0005-0000-0000-0000D8060000}"/>
    <cellStyle name="_사전원가심의1_울산천곡동(도면변경0916)예가송부_경희대치과대학_광주운암내역서(현설용)" xfId="1769" xr:uid="{00000000-0005-0000-0000-0000D9060000}"/>
    <cellStyle name="_사전원가심의1_울산천곡동(도면변경0916)예가송부_경희대치과대학_목포남악내역서" xfId="1770" xr:uid="{00000000-0005-0000-0000-0000DA060000}"/>
    <cellStyle name="_사전원가심의1_울산천곡동(도면변경0916)예가송부_경희대치과대학_삼성동I'PARK스포츠센타 보수공사(제출)" xfId="1771" xr:uid="{00000000-0005-0000-0000-0000DB060000}"/>
    <cellStyle name="_사전원가심의1_울산천곡동(도면변경0916)예가송부_경희대치과대학_전기공사(추가)" xfId="1772" xr:uid="{00000000-0005-0000-0000-0000DC060000}"/>
    <cellStyle name="_사전원가심의1_울산천곡동(도면변경0916)예가송부_경희대치과대학_종로무악 MH공사(실행)" xfId="1773" xr:uid="{00000000-0005-0000-0000-0000DD060000}"/>
    <cellStyle name="_사전원가심의1_울산천곡동(도면변경0916)예가송부_공내역서" xfId="1774" xr:uid="{00000000-0005-0000-0000-0000DE060000}"/>
    <cellStyle name="_사전원가심의1_울산천곡동(도면변경0916)예가송부_공내역서_경희대치과대학" xfId="1775" xr:uid="{00000000-0005-0000-0000-0000DF060000}"/>
    <cellStyle name="_사전원가심의1_울산천곡동(도면변경0916)예가송부_공내역서_경희대치과대학_공용부" xfId="1776" xr:uid="{00000000-0005-0000-0000-0000E0060000}"/>
    <cellStyle name="_사전원가심의1_울산천곡동(도면변경0916)예가송부_공내역서_경희대치과대학_공용부_공용부" xfId="1777" xr:uid="{00000000-0005-0000-0000-0000E1060000}"/>
    <cellStyle name="_사전원가심의1_울산천곡동(도면변경0916)예가송부_공내역서_경희대치과대학_공용부_공용부_공용부" xfId="1778" xr:uid="{00000000-0005-0000-0000-0000E2060000}"/>
    <cellStyle name="_사전원가심의1_울산천곡동(도면변경0916)예가송부_공내역서_경희대치과대학_광주운암내역서(현설용)" xfId="1779" xr:uid="{00000000-0005-0000-0000-0000E3060000}"/>
    <cellStyle name="_사전원가심의1_울산천곡동(도면변경0916)예가송부_공내역서_경희대치과대학_목포남악내역서" xfId="1780" xr:uid="{00000000-0005-0000-0000-0000E4060000}"/>
    <cellStyle name="_사전원가심의1_울산천곡동(도면변경0916)예가송부_공내역서_경희대치과대학_삼성동I'PARK스포츠센타 보수공사(제출)" xfId="1781" xr:uid="{00000000-0005-0000-0000-0000E5060000}"/>
    <cellStyle name="_사전원가심의1_울산천곡동(도면변경0916)예가송부_공내역서_경희대치과대학_전기공사(추가)" xfId="1782" xr:uid="{00000000-0005-0000-0000-0000E6060000}"/>
    <cellStyle name="_사전원가심의1_울산천곡동(도면변경0916)예가송부_공내역서_경희대치과대학_종로무악 MH공사(실행)" xfId="1783" xr:uid="{00000000-0005-0000-0000-0000E7060000}"/>
    <cellStyle name="_사전원가심의1_울산천곡동(도면변경0916)예가송부_공내역서_공용부" xfId="1784" xr:uid="{00000000-0005-0000-0000-0000E8060000}"/>
    <cellStyle name="_사전원가심의1_울산천곡동(도면변경0916)예가송부_공내역서_공용부_공용부" xfId="1785" xr:uid="{00000000-0005-0000-0000-0000E9060000}"/>
    <cellStyle name="_사전원가심의1_울산천곡동(도면변경0916)예가송부_공내역서_공용부_공용부_공용부" xfId="1786" xr:uid="{00000000-0005-0000-0000-0000EA060000}"/>
    <cellStyle name="_사전원가심의1_울산천곡동(도면변경0916)예가송부_공내역서_광주운암내역서(현설용)" xfId="1787" xr:uid="{00000000-0005-0000-0000-0000EB060000}"/>
    <cellStyle name="_사전원가심의1_울산천곡동(도면변경0916)예가송부_공내역서_목포남악내역서" xfId="1788" xr:uid="{00000000-0005-0000-0000-0000EC060000}"/>
    <cellStyle name="_사전원가심의1_울산천곡동(도면변경0916)예가송부_공내역서_삼성동I'PARK스포츠센타 보수공사(제출)" xfId="1789" xr:uid="{00000000-0005-0000-0000-0000ED060000}"/>
    <cellStyle name="_사전원가심의1_울산천곡동(도면변경0916)예가송부_공내역서_울산천곡MH실행(재입찰)" xfId="1790" xr:uid="{00000000-0005-0000-0000-0000EE060000}"/>
    <cellStyle name="_사전원가심의1_울산천곡동(도면변경0916)예가송부_공내역서_울산천곡MH실행(재입찰)_공용부" xfId="1791" xr:uid="{00000000-0005-0000-0000-0000EF060000}"/>
    <cellStyle name="_사전원가심의1_울산천곡동(도면변경0916)예가송부_공내역서_울산천곡MH실행(재입찰)_공용부_공용부" xfId="1792" xr:uid="{00000000-0005-0000-0000-0000F0060000}"/>
    <cellStyle name="_사전원가심의1_울산천곡동(도면변경0916)예가송부_공내역서_울산천곡MH실행(재입찰)_공용부_공용부_공용부" xfId="1793" xr:uid="{00000000-0005-0000-0000-0000F1060000}"/>
    <cellStyle name="_사전원가심의1_울산천곡동(도면변경0916)예가송부_공내역서_울산천곡MH실행(재입찰)_광주운암내역서(현설용)" xfId="1794" xr:uid="{00000000-0005-0000-0000-0000F2060000}"/>
    <cellStyle name="_사전원가심의1_울산천곡동(도면변경0916)예가송부_공내역서_울산천곡MH실행(재입찰)_목포남악내역서" xfId="1795" xr:uid="{00000000-0005-0000-0000-0000F3060000}"/>
    <cellStyle name="_사전원가심의1_울산천곡동(도면변경0916)예가송부_공내역서_울산천곡MH실행(재입찰)_삼성동I'PARK스포츠센타 보수공사(제출)" xfId="1796" xr:uid="{00000000-0005-0000-0000-0000F4060000}"/>
    <cellStyle name="_사전원가심의1_울산천곡동(도면변경0916)예가송부_공내역서_울산천곡MH실행(재입찰)_전기공사(추가)" xfId="1797" xr:uid="{00000000-0005-0000-0000-0000F5060000}"/>
    <cellStyle name="_사전원가심의1_울산천곡동(도면변경0916)예가송부_공내역서_울산천곡MH실행(재입찰)_종로무악 MH공사(실행)" xfId="1798" xr:uid="{00000000-0005-0000-0000-0000F6060000}"/>
    <cellStyle name="_사전원가심의1_울산천곡동(도면변경0916)예가송부_공내역서_울산천곡설계비" xfId="1799" xr:uid="{00000000-0005-0000-0000-0000F7060000}"/>
    <cellStyle name="_사전원가심의1_울산천곡동(도면변경0916)예가송부_공내역서_울산천곡설계비_공용부" xfId="1800" xr:uid="{00000000-0005-0000-0000-0000F8060000}"/>
    <cellStyle name="_사전원가심의1_울산천곡동(도면변경0916)예가송부_공내역서_울산천곡설계비_공용부_공용부" xfId="1801" xr:uid="{00000000-0005-0000-0000-0000F9060000}"/>
    <cellStyle name="_사전원가심의1_울산천곡동(도면변경0916)예가송부_공내역서_울산천곡설계비_공용부_공용부_공용부" xfId="1802" xr:uid="{00000000-0005-0000-0000-0000FA060000}"/>
    <cellStyle name="_사전원가심의1_울산천곡동(도면변경0916)예가송부_공내역서_울산천곡설계비_광주운암내역서(현설용)" xfId="1803" xr:uid="{00000000-0005-0000-0000-0000FB060000}"/>
    <cellStyle name="_사전원가심의1_울산천곡동(도면변경0916)예가송부_공내역서_울산천곡설계비_목포남악내역서" xfId="1804" xr:uid="{00000000-0005-0000-0000-0000FC060000}"/>
    <cellStyle name="_사전원가심의1_울산천곡동(도면변경0916)예가송부_공내역서_울산천곡설계비_삼성동I'PARK스포츠센타 보수공사(제출)" xfId="1805" xr:uid="{00000000-0005-0000-0000-0000FD060000}"/>
    <cellStyle name="_사전원가심의1_울산천곡동(도면변경0916)예가송부_공내역서_울산천곡설계비_전기공사(추가)" xfId="1806" xr:uid="{00000000-0005-0000-0000-0000FE060000}"/>
    <cellStyle name="_사전원가심의1_울산천곡동(도면변경0916)예가송부_공내역서_울산천곡설계비_종로무악 MH공사(실행)" xfId="1807" xr:uid="{00000000-0005-0000-0000-0000FF060000}"/>
    <cellStyle name="_사전원가심의1_울산천곡동(도면변경0916)예가송부_공내역서_전기공사(추가)" xfId="1808" xr:uid="{00000000-0005-0000-0000-000000070000}"/>
    <cellStyle name="_사전원가심의1_울산천곡동(도면변경0916)예가송부_공내역서_종로무악 MH공사(실행)" xfId="1809" xr:uid="{00000000-0005-0000-0000-000001070000}"/>
    <cellStyle name="_사전원가심의1_울산천곡동(도면변경0916)예가송부_공용부" xfId="1810" xr:uid="{00000000-0005-0000-0000-000002070000}"/>
    <cellStyle name="_사전원가심의1_울산천곡동(도면변경0916)예가송부_공용부_공용부" xfId="1811" xr:uid="{00000000-0005-0000-0000-000003070000}"/>
    <cellStyle name="_사전원가심의1_울산천곡동(도면변경0916)예가송부_공용부_공용부_공용부" xfId="1812" xr:uid="{00000000-0005-0000-0000-000004070000}"/>
    <cellStyle name="_사전원가심의1_울산천곡동(도면변경0916)예가송부_광주운암내역서(현설용)" xfId="1813" xr:uid="{00000000-0005-0000-0000-000005070000}"/>
    <cellStyle name="_사전원가심의1_울산천곡동(도면변경0916)예가송부_목포남악내역서" xfId="1814" xr:uid="{00000000-0005-0000-0000-000006070000}"/>
    <cellStyle name="_사전원가심의1_울산천곡동(도면변경0916)예가송부_삼성동I'PARK스포츠센타 보수공사(제출)" xfId="1815" xr:uid="{00000000-0005-0000-0000-000007070000}"/>
    <cellStyle name="_사전원가심의1_울산천곡동(도면변경0916)예가송부_울산천곡MH실행(재입찰)" xfId="1816" xr:uid="{00000000-0005-0000-0000-000008070000}"/>
    <cellStyle name="_사전원가심의1_울산천곡동(도면변경0916)예가송부_울산천곡MH실행(재입찰)_공용부" xfId="1817" xr:uid="{00000000-0005-0000-0000-000009070000}"/>
    <cellStyle name="_사전원가심의1_울산천곡동(도면변경0916)예가송부_울산천곡MH실행(재입찰)_공용부_공용부" xfId="1818" xr:uid="{00000000-0005-0000-0000-00000A070000}"/>
    <cellStyle name="_사전원가심의1_울산천곡동(도면변경0916)예가송부_울산천곡MH실행(재입찰)_공용부_공용부_공용부" xfId="1819" xr:uid="{00000000-0005-0000-0000-00000B070000}"/>
    <cellStyle name="_사전원가심의1_울산천곡동(도면변경0916)예가송부_울산천곡MH실행(재입찰)_광주운암내역서(현설용)" xfId="1820" xr:uid="{00000000-0005-0000-0000-00000C070000}"/>
    <cellStyle name="_사전원가심의1_울산천곡동(도면변경0916)예가송부_울산천곡MH실행(재입찰)_목포남악내역서" xfId="1821" xr:uid="{00000000-0005-0000-0000-00000D070000}"/>
    <cellStyle name="_사전원가심의1_울산천곡동(도면변경0916)예가송부_울산천곡MH실행(재입찰)_삼성동I'PARK스포츠센타 보수공사(제출)" xfId="1822" xr:uid="{00000000-0005-0000-0000-00000E070000}"/>
    <cellStyle name="_사전원가심의1_울산천곡동(도면변경0916)예가송부_울산천곡MH실행(재입찰)_전기공사(추가)" xfId="1823" xr:uid="{00000000-0005-0000-0000-00000F070000}"/>
    <cellStyle name="_사전원가심의1_울산천곡동(도면변경0916)예가송부_울산천곡MH실행(재입찰)_종로무악 MH공사(실행)" xfId="1824" xr:uid="{00000000-0005-0000-0000-000010070000}"/>
    <cellStyle name="_사전원가심의1_울산천곡동(도면변경0916)예가송부_울산천곡설계비" xfId="1825" xr:uid="{00000000-0005-0000-0000-000011070000}"/>
    <cellStyle name="_사전원가심의1_울산천곡동(도면변경0916)예가송부_울산천곡설계비_공용부" xfId="1826" xr:uid="{00000000-0005-0000-0000-000012070000}"/>
    <cellStyle name="_사전원가심의1_울산천곡동(도면변경0916)예가송부_울산천곡설계비_공용부_공용부" xfId="1827" xr:uid="{00000000-0005-0000-0000-000013070000}"/>
    <cellStyle name="_사전원가심의1_울산천곡동(도면변경0916)예가송부_울산천곡설계비_공용부_공용부_공용부" xfId="1828" xr:uid="{00000000-0005-0000-0000-000014070000}"/>
    <cellStyle name="_사전원가심의1_울산천곡동(도면변경0916)예가송부_울산천곡설계비_광주운암내역서(현설용)" xfId="1829" xr:uid="{00000000-0005-0000-0000-000015070000}"/>
    <cellStyle name="_사전원가심의1_울산천곡동(도면변경0916)예가송부_울산천곡설계비_목포남악내역서" xfId="1830" xr:uid="{00000000-0005-0000-0000-000016070000}"/>
    <cellStyle name="_사전원가심의1_울산천곡동(도면변경0916)예가송부_울산천곡설계비_삼성동I'PARK스포츠센타 보수공사(제출)" xfId="1831" xr:uid="{00000000-0005-0000-0000-000017070000}"/>
    <cellStyle name="_사전원가심의1_울산천곡동(도면변경0916)예가송부_울산천곡설계비_전기공사(추가)" xfId="1832" xr:uid="{00000000-0005-0000-0000-000018070000}"/>
    <cellStyle name="_사전원가심의1_울산천곡동(도면변경0916)예가송부_울산천곡설계비_종로무악 MH공사(실행)" xfId="1833" xr:uid="{00000000-0005-0000-0000-000019070000}"/>
    <cellStyle name="_사전원가심의1_울산천곡동(도면변경0916)예가송부_전기공사(추가)" xfId="1834" xr:uid="{00000000-0005-0000-0000-00001A070000}"/>
    <cellStyle name="_사전원가심의1_울산천곡동(도면변경0916)예가송부_종로무악 MH공사(실행)" xfId="1835" xr:uid="{00000000-0005-0000-0000-00001B070000}"/>
    <cellStyle name="_사전원가심의1_울산천곡동_경희대치과대학" xfId="1836" xr:uid="{00000000-0005-0000-0000-00001C070000}"/>
    <cellStyle name="_사전원가심의1_울산천곡동_경희대치과대학_공용부" xfId="1837" xr:uid="{00000000-0005-0000-0000-00001D070000}"/>
    <cellStyle name="_사전원가심의1_울산천곡동_경희대치과대학_공용부_공용부" xfId="1838" xr:uid="{00000000-0005-0000-0000-00001E070000}"/>
    <cellStyle name="_사전원가심의1_울산천곡동_경희대치과대학_공용부_공용부_공용부" xfId="1839" xr:uid="{00000000-0005-0000-0000-00001F070000}"/>
    <cellStyle name="_사전원가심의1_울산천곡동_경희대치과대학_광주운암내역서(현설용)" xfId="1840" xr:uid="{00000000-0005-0000-0000-000020070000}"/>
    <cellStyle name="_사전원가심의1_울산천곡동_경희대치과대학_목포남악내역서" xfId="1841" xr:uid="{00000000-0005-0000-0000-000021070000}"/>
    <cellStyle name="_사전원가심의1_울산천곡동_경희대치과대학_삼성동I'PARK스포츠센타 보수공사(제출)" xfId="1842" xr:uid="{00000000-0005-0000-0000-000022070000}"/>
    <cellStyle name="_사전원가심의1_울산천곡동_경희대치과대학_전기공사(추가)" xfId="1843" xr:uid="{00000000-0005-0000-0000-000023070000}"/>
    <cellStyle name="_사전원가심의1_울산천곡동_경희대치과대학_종로무악 MH공사(실행)" xfId="1844" xr:uid="{00000000-0005-0000-0000-000024070000}"/>
    <cellStyle name="_사전원가심의1_울산천곡동_공내역서" xfId="1845" xr:uid="{00000000-0005-0000-0000-000025070000}"/>
    <cellStyle name="_사전원가심의1_울산천곡동_공내역서_경희대치과대학" xfId="1846" xr:uid="{00000000-0005-0000-0000-000026070000}"/>
    <cellStyle name="_사전원가심의1_울산천곡동_공내역서_경희대치과대학_공용부" xfId="1847" xr:uid="{00000000-0005-0000-0000-000027070000}"/>
    <cellStyle name="_사전원가심의1_울산천곡동_공내역서_경희대치과대학_공용부_공용부" xfId="1848" xr:uid="{00000000-0005-0000-0000-000028070000}"/>
    <cellStyle name="_사전원가심의1_울산천곡동_공내역서_경희대치과대학_공용부_공용부_공용부" xfId="1849" xr:uid="{00000000-0005-0000-0000-000029070000}"/>
    <cellStyle name="_사전원가심의1_울산천곡동_공내역서_경희대치과대학_광주운암내역서(현설용)" xfId="1850" xr:uid="{00000000-0005-0000-0000-00002A070000}"/>
    <cellStyle name="_사전원가심의1_울산천곡동_공내역서_경희대치과대학_목포남악내역서" xfId="1851" xr:uid="{00000000-0005-0000-0000-00002B070000}"/>
    <cellStyle name="_사전원가심의1_울산천곡동_공내역서_경희대치과대학_삼성동I'PARK스포츠센타 보수공사(제출)" xfId="1852" xr:uid="{00000000-0005-0000-0000-00002C070000}"/>
    <cellStyle name="_사전원가심의1_울산천곡동_공내역서_경희대치과대학_전기공사(추가)" xfId="1853" xr:uid="{00000000-0005-0000-0000-00002D070000}"/>
    <cellStyle name="_사전원가심의1_울산천곡동_공내역서_경희대치과대학_종로무악 MH공사(실행)" xfId="1854" xr:uid="{00000000-0005-0000-0000-00002E070000}"/>
    <cellStyle name="_사전원가심의1_울산천곡동_공내역서_공용부" xfId="1855" xr:uid="{00000000-0005-0000-0000-00002F070000}"/>
    <cellStyle name="_사전원가심의1_울산천곡동_공내역서_공용부_공용부" xfId="1856" xr:uid="{00000000-0005-0000-0000-000030070000}"/>
    <cellStyle name="_사전원가심의1_울산천곡동_공내역서_공용부_공용부_공용부" xfId="1857" xr:uid="{00000000-0005-0000-0000-000031070000}"/>
    <cellStyle name="_사전원가심의1_울산천곡동_공내역서_광주운암내역서(현설용)" xfId="1858" xr:uid="{00000000-0005-0000-0000-000032070000}"/>
    <cellStyle name="_사전원가심의1_울산천곡동_공내역서_목포남악내역서" xfId="1859" xr:uid="{00000000-0005-0000-0000-000033070000}"/>
    <cellStyle name="_사전원가심의1_울산천곡동_공내역서_삼성동I'PARK스포츠센타 보수공사(제출)" xfId="1860" xr:uid="{00000000-0005-0000-0000-000034070000}"/>
    <cellStyle name="_사전원가심의1_울산천곡동_공내역서_울산천곡MH실행(재입찰)" xfId="1861" xr:uid="{00000000-0005-0000-0000-000035070000}"/>
    <cellStyle name="_사전원가심의1_울산천곡동_공내역서_울산천곡MH실행(재입찰)_공용부" xfId="1862" xr:uid="{00000000-0005-0000-0000-000036070000}"/>
    <cellStyle name="_사전원가심의1_울산천곡동_공내역서_울산천곡MH실행(재입찰)_공용부_공용부" xfId="1863" xr:uid="{00000000-0005-0000-0000-000037070000}"/>
    <cellStyle name="_사전원가심의1_울산천곡동_공내역서_울산천곡MH실행(재입찰)_공용부_공용부_공용부" xfId="1864" xr:uid="{00000000-0005-0000-0000-000038070000}"/>
    <cellStyle name="_사전원가심의1_울산천곡동_공내역서_울산천곡MH실행(재입찰)_광주운암내역서(현설용)" xfId="1865" xr:uid="{00000000-0005-0000-0000-000039070000}"/>
    <cellStyle name="_사전원가심의1_울산천곡동_공내역서_울산천곡MH실행(재입찰)_목포남악내역서" xfId="1866" xr:uid="{00000000-0005-0000-0000-00003A070000}"/>
    <cellStyle name="_사전원가심의1_울산천곡동_공내역서_울산천곡MH실행(재입찰)_삼성동I'PARK스포츠센타 보수공사(제출)" xfId="1867" xr:uid="{00000000-0005-0000-0000-00003B070000}"/>
    <cellStyle name="_사전원가심의1_울산천곡동_공내역서_울산천곡MH실행(재입찰)_전기공사(추가)" xfId="1868" xr:uid="{00000000-0005-0000-0000-00003C070000}"/>
    <cellStyle name="_사전원가심의1_울산천곡동_공내역서_울산천곡MH실행(재입찰)_종로무악 MH공사(실행)" xfId="1869" xr:uid="{00000000-0005-0000-0000-00003D070000}"/>
    <cellStyle name="_사전원가심의1_울산천곡동_공내역서_울산천곡설계비" xfId="1870" xr:uid="{00000000-0005-0000-0000-00003E070000}"/>
    <cellStyle name="_사전원가심의1_울산천곡동_공내역서_울산천곡설계비_공용부" xfId="1871" xr:uid="{00000000-0005-0000-0000-00003F070000}"/>
    <cellStyle name="_사전원가심의1_울산천곡동_공내역서_울산천곡설계비_공용부_공용부" xfId="1872" xr:uid="{00000000-0005-0000-0000-000040070000}"/>
    <cellStyle name="_사전원가심의1_울산천곡동_공내역서_울산천곡설계비_공용부_공용부_공용부" xfId="1873" xr:uid="{00000000-0005-0000-0000-000041070000}"/>
    <cellStyle name="_사전원가심의1_울산천곡동_공내역서_울산천곡설계비_광주운암내역서(현설용)" xfId="1874" xr:uid="{00000000-0005-0000-0000-000042070000}"/>
    <cellStyle name="_사전원가심의1_울산천곡동_공내역서_울산천곡설계비_목포남악내역서" xfId="1875" xr:uid="{00000000-0005-0000-0000-000043070000}"/>
    <cellStyle name="_사전원가심의1_울산천곡동_공내역서_울산천곡설계비_삼성동I'PARK스포츠센타 보수공사(제출)" xfId="1876" xr:uid="{00000000-0005-0000-0000-000044070000}"/>
    <cellStyle name="_사전원가심의1_울산천곡동_공내역서_울산천곡설계비_전기공사(추가)" xfId="1877" xr:uid="{00000000-0005-0000-0000-000045070000}"/>
    <cellStyle name="_사전원가심의1_울산천곡동_공내역서_울산천곡설계비_종로무악 MH공사(실행)" xfId="1878" xr:uid="{00000000-0005-0000-0000-000046070000}"/>
    <cellStyle name="_사전원가심의1_울산천곡동_공내역서_전기공사(추가)" xfId="1879" xr:uid="{00000000-0005-0000-0000-000047070000}"/>
    <cellStyle name="_사전원가심의1_울산천곡동_공내역서_종로무악 MH공사(실행)" xfId="1880" xr:uid="{00000000-0005-0000-0000-000048070000}"/>
    <cellStyle name="_사전원가심의1_울산천곡동_공용부" xfId="1881" xr:uid="{00000000-0005-0000-0000-000049070000}"/>
    <cellStyle name="_사전원가심의1_울산천곡동_공용부_공용부" xfId="1882" xr:uid="{00000000-0005-0000-0000-00004A070000}"/>
    <cellStyle name="_사전원가심의1_울산천곡동_공용부_공용부_공용부" xfId="1883" xr:uid="{00000000-0005-0000-0000-00004B070000}"/>
    <cellStyle name="_사전원가심의1_울산천곡동_광주운암내역서(현설용)" xfId="1884" xr:uid="{00000000-0005-0000-0000-00004C070000}"/>
    <cellStyle name="_사전원가심의1_울산천곡동_목포남악내역서" xfId="1885" xr:uid="{00000000-0005-0000-0000-00004D070000}"/>
    <cellStyle name="_사전원가심의1_울산천곡동_삼성동I'PARK스포츠센타 보수공사(제출)" xfId="1886" xr:uid="{00000000-0005-0000-0000-00004E070000}"/>
    <cellStyle name="_사전원가심의1_울산천곡동_울산천곡MH실행(재입찰)" xfId="1887" xr:uid="{00000000-0005-0000-0000-00004F070000}"/>
    <cellStyle name="_사전원가심의1_울산천곡동_울산천곡MH실행(재입찰)_공용부" xfId="1888" xr:uid="{00000000-0005-0000-0000-000050070000}"/>
    <cellStyle name="_사전원가심의1_울산천곡동_울산천곡MH실행(재입찰)_공용부_공용부" xfId="1889" xr:uid="{00000000-0005-0000-0000-000051070000}"/>
    <cellStyle name="_사전원가심의1_울산천곡동_울산천곡MH실행(재입찰)_공용부_공용부_공용부" xfId="1890" xr:uid="{00000000-0005-0000-0000-000052070000}"/>
    <cellStyle name="_사전원가심의1_울산천곡동_울산천곡MH실행(재입찰)_광주운암내역서(현설용)" xfId="1891" xr:uid="{00000000-0005-0000-0000-000053070000}"/>
    <cellStyle name="_사전원가심의1_울산천곡동_울산천곡MH실행(재입찰)_목포남악내역서" xfId="1892" xr:uid="{00000000-0005-0000-0000-000054070000}"/>
    <cellStyle name="_사전원가심의1_울산천곡동_울산천곡MH실행(재입찰)_삼성동I'PARK스포츠센타 보수공사(제출)" xfId="1893" xr:uid="{00000000-0005-0000-0000-000055070000}"/>
    <cellStyle name="_사전원가심의1_울산천곡동_울산천곡MH실행(재입찰)_전기공사(추가)" xfId="1894" xr:uid="{00000000-0005-0000-0000-000056070000}"/>
    <cellStyle name="_사전원가심의1_울산천곡동_울산천곡MH실행(재입찰)_종로무악 MH공사(실행)" xfId="1895" xr:uid="{00000000-0005-0000-0000-000057070000}"/>
    <cellStyle name="_사전원가심의1_울산천곡동_울산천곡설계비" xfId="1896" xr:uid="{00000000-0005-0000-0000-000058070000}"/>
    <cellStyle name="_사전원가심의1_울산천곡동_울산천곡설계비_공용부" xfId="1897" xr:uid="{00000000-0005-0000-0000-000059070000}"/>
    <cellStyle name="_사전원가심의1_울산천곡동_울산천곡설계비_공용부_공용부" xfId="1898" xr:uid="{00000000-0005-0000-0000-00005A070000}"/>
    <cellStyle name="_사전원가심의1_울산천곡동_울산천곡설계비_공용부_공용부_공용부" xfId="1899" xr:uid="{00000000-0005-0000-0000-00005B070000}"/>
    <cellStyle name="_사전원가심의1_울산천곡동_울산천곡설계비_광주운암내역서(현설용)" xfId="1900" xr:uid="{00000000-0005-0000-0000-00005C070000}"/>
    <cellStyle name="_사전원가심의1_울산천곡동_울산천곡설계비_목포남악내역서" xfId="1901" xr:uid="{00000000-0005-0000-0000-00005D070000}"/>
    <cellStyle name="_사전원가심의1_울산천곡동_울산천곡설계비_삼성동I'PARK스포츠센타 보수공사(제출)" xfId="1902" xr:uid="{00000000-0005-0000-0000-00005E070000}"/>
    <cellStyle name="_사전원가심의1_울산천곡동_울산천곡설계비_전기공사(추가)" xfId="1903" xr:uid="{00000000-0005-0000-0000-00005F070000}"/>
    <cellStyle name="_사전원가심의1_울산천곡동_울산천곡설계비_종로무악 MH공사(실행)" xfId="1904" xr:uid="{00000000-0005-0000-0000-000060070000}"/>
    <cellStyle name="_사전원가심의1_울산천곡동_전기공사(추가)" xfId="1905" xr:uid="{00000000-0005-0000-0000-000061070000}"/>
    <cellStyle name="_사전원가심의1_울산천곡동_종로무악 MH공사(실행)" xfId="1906" xr:uid="{00000000-0005-0000-0000-000062070000}"/>
    <cellStyle name="_사전원가심의1_울산천곡설계비" xfId="1907" xr:uid="{00000000-0005-0000-0000-000063070000}"/>
    <cellStyle name="_사전원가심의1_울산천곡설계비_공용부" xfId="1908" xr:uid="{00000000-0005-0000-0000-000064070000}"/>
    <cellStyle name="_사전원가심의1_울산천곡설계비_공용부_공용부" xfId="1909" xr:uid="{00000000-0005-0000-0000-000065070000}"/>
    <cellStyle name="_사전원가심의1_울산천곡설계비_공용부_공용부_공용부" xfId="1910" xr:uid="{00000000-0005-0000-0000-000066070000}"/>
    <cellStyle name="_사전원가심의1_울산천곡설계비_광주운암내역서(현설용)" xfId="1911" xr:uid="{00000000-0005-0000-0000-000067070000}"/>
    <cellStyle name="_사전원가심의1_울산천곡설계비_목포남악내역서" xfId="1912" xr:uid="{00000000-0005-0000-0000-000068070000}"/>
    <cellStyle name="_사전원가심의1_울산천곡설계비_삼성동I'PARK스포츠센타 보수공사(제출)" xfId="1913" xr:uid="{00000000-0005-0000-0000-000069070000}"/>
    <cellStyle name="_사전원가심의1_울산천곡설계비_전기공사(추가)" xfId="1914" xr:uid="{00000000-0005-0000-0000-00006A070000}"/>
    <cellStyle name="_사전원가심의1_울산천곡설계비_종로무악 MH공사(실행)" xfId="1915" xr:uid="{00000000-0005-0000-0000-00006B070000}"/>
    <cellStyle name="_사전원가심의1_전기공사(추가)" xfId="1916" xr:uid="{00000000-0005-0000-0000-00006C070000}"/>
    <cellStyle name="_사전원가심의1_종로무악 MH공사(실행)" xfId="1917" xr:uid="{00000000-0005-0000-0000-00006D070000}"/>
    <cellStyle name="_사전원가심의1_창동현대홈시티" xfId="1918" xr:uid="{00000000-0005-0000-0000-00006E070000}"/>
    <cellStyle name="_사전원가심의1_창동현대홈시티_경희대치과대학" xfId="1919" xr:uid="{00000000-0005-0000-0000-00006F070000}"/>
    <cellStyle name="_사전원가심의1_창동현대홈시티_경희대치과대학_공용부" xfId="1920" xr:uid="{00000000-0005-0000-0000-000070070000}"/>
    <cellStyle name="_사전원가심의1_창동현대홈시티_경희대치과대학_공용부_공용부" xfId="1921" xr:uid="{00000000-0005-0000-0000-000071070000}"/>
    <cellStyle name="_사전원가심의1_창동현대홈시티_경희대치과대학_공용부_공용부_공용부" xfId="1922" xr:uid="{00000000-0005-0000-0000-000072070000}"/>
    <cellStyle name="_사전원가심의1_창동현대홈시티_경희대치과대학_광주운암내역서(현설용)" xfId="1923" xr:uid="{00000000-0005-0000-0000-000073070000}"/>
    <cellStyle name="_사전원가심의1_창동현대홈시티_경희대치과대학_목포남악내역서" xfId="1924" xr:uid="{00000000-0005-0000-0000-000074070000}"/>
    <cellStyle name="_사전원가심의1_창동현대홈시티_경희대치과대학_삼성동I'PARK스포츠센타 보수공사(제출)" xfId="1925" xr:uid="{00000000-0005-0000-0000-000075070000}"/>
    <cellStyle name="_사전원가심의1_창동현대홈시티_경희대치과대학_전기공사(추가)" xfId="1926" xr:uid="{00000000-0005-0000-0000-000076070000}"/>
    <cellStyle name="_사전원가심의1_창동현대홈시티_경희대치과대학_종로무악 MH공사(실행)" xfId="1927" xr:uid="{00000000-0005-0000-0000-000077070000}"/>
    <cellStyle name="_사전원가심의1_창동현대홈시티_공용부" xfId="1928" xr:uid="{00000000-0005-0000-0000-000078070000}"/>
    <cellStyle name="_사전원가심의1_창동현대홈시티_공용부_공용부" xfId="1929" xr:uid="{00000000-0005-0000-0000-000079070000}"/>
    <cellStyle name="_사전원가심의1_창동현대홈시티_공용부_공용부_공용부" xfId="1930" xr:uid="{00000000-0005-0000-0000-00007A070000}"/>
    <cellStyle name="_사전원가심의1_창동현대홈시티_광주운암내역서(현설용)" xfId="1931" xr:uid="{00000000-0005-0000-0000-00007B070000}"/>
    <cellStyle name="_사전원가심의1_창동현대홈시티_목포남악내역서" xfId="1932" xr:uid="{00000000-0005-0000-0000-00007C070000}"/>
    <cellStyle name="_사전원가심의1_창동현대홈시티_삼성동I'PARK스포츠센타 보수공사(제출)" xfId="1933" xr:uid="{00000000-0005-0000-0000-00007D070000}"/>
    <cellStyle name="_사전원가심의1_창동현대홈시티_울산천곡MH실행(재입찰)" xfId="1934" xr:uid="{00000000-0005-0000-0000-00007E070000}"/>
    <cellStyle name="_사전원가심의1_창동현대홈시티_울산천곡MH실행(재입찰)_공용부" xfId="1935" xr:uid="{00000000-0005-0000-0000-00007F070000}"/>
    <cellStyle name="_사전원가심의1_창동현대홈시티_울산천곡MH실행(재입찰)_공용부_공용부" xfId="1936" xr:uid="{00000000-0005-0000-0000-000080070000}"/>
    <cellStyle name="_사전원가심의1_창동현대홈시티_울산천곡MH실행(재입찰)_공용부_공용부_공용부" xfId="1937" xr:uid="{00000000-0005-0000-0000-000081070000}"/>
    <cellStyle name="_사전원가심의1_창동현대홈시티_울산천곡MH실행(재입찰)_광주운암내역서(현설용)" xfId="1938" xr:uid="{00000000-0005-0000-0000-000082070000}"/>
    <cellStyle name="_사전원가심의1_창동현대홈시티_울산천곡MH실행(재입찰)_목포남악내역서" xfId="1939" xr:uid="{00000000-0005-0000-0000-000083070000}"/>
    <cellStyle name="_사전원가심의1_창동현대홈시티_울산천곡MH실행(재입찰)_삼성동I'PARK스포츠센타 보수공사(제출)" xfId="1940" xr:uid="{00000000-0005-0000-0000-000084070000}"/>
    <cellStyle name="_사전원가심의1_창동현대홈시티_울산천곡MH실행(재입찰)_전기공사(추가)" xfId="1941" xr:uid="{00000000-0005-0000-0000-000085070000}"/>
    <cellStyle name="_사전원가심의1_창동현대홈시티_울산천곡MH실행(재입찰)_종로무악 MH공사(실행)" xfId="1942" xr:uid="{00000000-0005-0000-0000-000086070000}"/>
    <cellStyle name="_사전원가심의1_창동현대홈시티_울산천곡설계비" xfId="1943" xr:uid="{00000000-0005-0000-0000-000087070000}"/>
    <cellStyle name="_사전원가심의1_창동현대홈시티_울산천곡설계비_공용부" xfId="1944" xr:uid="{00000000-0005-0000-0000-000088070000}"/>
    <cellStyle name="_사전원가심의1_창동현대홈시티_울산천곡설계비_공용부_공용부" xfId="1945" xr:uid="{00000000-0005-0000-0000-000089070000}"/>
    <cellStyle name="_사전원가심의1_창동현대홈시티_울산천곡설계비_공용부_공용부_공용부" xfId="1946" xr:uid="{00000000-0005-0000-0000-00008A070000}"/>
    <cellStyle name="_사전원가심의1_창동현대홈시티_울산천곡설계비_광주운암내역서(현설용)" xfId="1947" xr:uid="{00000000-0005-0000-0000-00008B070000}"/>
    <cellStyle name="_사전원가심의1_창동현대홈시티_울산천곡설계비_목포남악내역서" xfId="1948" xr:uid="{00000000-0005-0000-0000-00008C070000}"/>
    <cellStyle name="_사전원가심의1_창동현대홈시티_울산천곡설계비_삼성동I'PARK스포츠센타 보수공사(제출)" xfId="1949" xr:uid="{00000000-0005-0000-0000-00008D070000}"/>
    <cellStyle name="_사전원가심의1_창동현대홈시티_울산천곡설계비_전기공사(추가)" xfId="1950" xr:uid="{00000000-0005-0000-0000-00008E070000}"/>
    <cellStyle name="_사전원가심의1_창동현대홈시티_울산천곡설계비_종로무악 MH공사(실행)" xfId="1951" xr:uid="{00000000-0005-0000-0000-00008F070000}"/>
    <cellStyle name="_사전원가심의1_창동현대홈시티_전기공사(추가)" xfId="1952" xr:uid="{00000000-0005-0000-0000-000090070000}"/>
    <cellStyle name="_사전원가심의1_창동현대홈시티_종로무악 MH공사(실행)" xfId="1953" xr:uid="{00000000-0005-0000-0000-000091070000}"/>
    <cellStyle name="_사전원가심의1_천안용곡1" xfId="1954" xr:uid="{00000000-0005-0000-0000-000092070000}"/>
    <cellStyle name="_사전원가심의1_천안용곡1_경희대치과대학" xfId="1955" xr:uid="{00000000-0005-0000-0000-000093070000}"/>
    <cellStyle name="_사전원가심의1_천안용곡1_경희대치과대학_공용부" xfId="1956" xr:uid="{00000000-0005-0000-0000-000094070000}"/>
    <cellStyle name="_사전원가심의1_천안용곡1_경희대치과대학_공용부_공용부" xfId="1957" xr:uid="{00000000-0005-0000-0000-000095070000}"/>
    <cellStyle name="_사전원가심의1_천안용곡1_경희대치과대학_공용부_공용부_공용부" xfId="1958" xr:uid="{00000000-0005-0000-0000-000096070000}"/>
    <cellStyle name="_사전원가심의1_천안용곡1_경희대치과대학_광주운암내역서(현설용)" xfId="1959" xr:uid="{00000000-0005-0000-0000-000097070000}"/>
    <cellStyle name="_사전원가심의1_천안용곡1_경희대치과대학_목포남악내역서" xfId="1960" xr:uid="{00000000-0005-0000-0000-000098070000}"/>
    <cellStyle name="_사전원가심의1_천안용곡1_경희대치과대학_삼성동I'PARK스포츠센타 보수공사(제출)" xfId="1961" xr:uid="{00000000-0005-0000-0000-000099070000}"/>
    <cellStyle name="_사전원가심의1_천안용곡1_경희대치과대학_전기공사(추가)" xfId="1962" xr:uid="{00000000-0005-0000-0000-00009A070000}"/>
    <cellStyle name="_사전원가심의1_천안용곡1_경희대치과대학_종로무악 MH공사(실행)" xfId="1963" xr:uid="{00000000-0005-0000-0000-00009B070000}"/>
    <cellStyle name="_사전원가심의1_천안용곡1_공내역서" xfId="1964" xr:uid="{00000000-0005-0000-0000-00009C070000}"/>
    <cellStyle name="_사전원가심의1_천안용곡1_공내역서_경희대치과대학" xfId="1965" xr:uid="{00000000-0005-0000-0000-00009D070000}"/>
    <cellStyle name="_사전원가심의1_천안용곡1_공내역서_경희대치과대학_공용부" xfId="1966" xr:uid="{00000000-0005-0000-0000-00009E070000}"/>
    <cellStyle name="_사전원가심의1_천안용곡1_공내역서_경희대치과대학_공용부_공용부" xfId="1967" xr:uid="{00000000-0005-0000-0000-00009F070000}"/>
    <cellStyle name="_사전원가심의1_천안용곡1_공내역서_경희대치과대학_공용부_공용부_공용부" xfId="1968" xr:uid="{00000000-0005-0000-0000-0000A0070000}"/>
    <cellStyle name="_사전원가심의1_천안용곡1_공내역서_경희대치과대학_광주운암내역서(현설용)" xfId="1969" xr:uid="{00000000-0005-0000-0000-0000A1070000}"/>
    <cellStyle name="_사전원가심의1_천안용곡1_공내역서_경희대치과대학_목포남악내역서" xfId="1970" xr:uid="{00000000-0005-0000-0000-0000A2070000}"/>
    <cellStyle name="_사전원가심의1_천안용곡1_공내역서_경희대치과대학_삼성동I'PARK스포츠센타 보수공사(제출)" xfId="1971" xr:uid="{00000000-0005-0000-0000-0000A3070000}"/>
    <cellStyle name="_사전원가심의1_천안용곡1_공내역서_경희대치과대학_전기공사(추가)" xfId="1972" xr:uid="{00000000-0005-0000-0000-0000A4070000}"/>
    <cellStyle name="_사전원가심의1_천안용곡1_공내역서_경희대치과대학_종로무악 MH공사(실행)" xfId="1973" xr:uid="{00000000-0005-0000-0000-0000A5070000}"/>
    <cellStyle name="_사전원가심의1_천안용곡1_공내역서_공용부" xfId="1974" xr:uid="{00000000-0005-0000-0000-0000A6070000}"/>
    <cellStyle name="_사전원가심의1_천안용곡1_공내역서_공용부_공용부" xfId="1975" xr:uid="{00000000-0005-0000-0000-0000A7070000}"/>
    <cellStyle name="_사전원가심의1_천안용곡1_공내역서_공용부_공용부_공용부" xfId="1976" xr:uid="{00000000-0005-0000-0000-0000A8070000}"/>
    <cellStyle name="_사전원가심의1_천안용곡1_공내역서_광주운암내역서(현설용)" xfId="1977" xr:uid="{00000000-0005-0000-0000-0000A9070000}"/>
    <cellStyle name="_사전원가심의1_천안용곡1_공내역서_목포남악내역서" xfId="1978" xr:uid="{00000000-0005-0000-0000-0000AA070000}"/>
    <cellStyle name="_사전원가심의1_천안용곡1_공내역서_삼성동I'PARK스포츠센타 보수공사(제출)" xfId="1979" xr:uid="{00000000-0005-0000-0000-0000AB070000}"/>
    <cellStyle name="_사전원가심의1_천안용곡1_공내역서_울산천곡MH실행(재입찰)" xfId="1980" xr:uid="{00000000-0005-0000-0000-0000AC070000}"/>
    <cellStyle name="_사전원가심의1_천안용곡1_공내역서_울산천곡MH실행(재입찰)_공용부" xfId="1981" xr:uid="{00000000-0005-0000-0000-0000AD070000}"/>
    <cellStyle name="_사전원가심의1_천안용곡1_공내역서_울산천곡MH실행(재입찰)_공용부_공용부" xfId="1982" xr:uid="{00000000-0005-0000-0000-0000AE070000}"/>
    <cellStyle name="_사전원가심의1_천안용곡1_공내역서_울산천곡MH실행(재입찰)_공용부_공용부_공용부" xfId="1983" xr:uid="{00000000-0005-0000-0000-0000AF070000}"/>
    <cellStyle name="_사전원가심의1_천안용곡1_공내역서_울산천곡MH실행(재입찰)_광주운암내역서(현설용)" xfId="1984" xr:uid="{00000000-0005-0000-0000-0000B0070000}"/>
    <cellStyle name="_사전원가심의1_천안용곡1_공내역서_울산천곡MH실행(재입찰)_목포남악내역서" xfId="1985" xr:uid="{00000000-0005-0000-0000-0000B1070000}"/>
    <cellStyle name="_사전원가심의1_천안용곡1_공내역서_울산천곡MH실행(재입찰)_삼성동I'PARK스포츠센타 보수공사(제출)" xfId="1986" xr:uid="{00000000-0005-0000-0000-0000B2070000}"/>
    <cellStyle name="_사전원가심의1_천안용곡1_공내역서_울산천곡MH실행(재입찰)_전기공사(추가)" xfId="1987" xr:uid="{00000000-0005-0000-0000-0000B3070000}"/>
    <cellStyle name="_사전원가심의1_천안용곡1_공내역서_울산천곡MH실행(재입찰)_종로무악 MH공사(실행)" xfId="1988" xr:uid="{00000000-0005-0000-0000-0000B4070000}"/>
    <cellStyle name="_사전원가심의1_천안용곡1_공내역서_울산천곡설계비" xfId="1989" xr:uid="{00000000-0005-0000-0000-0000B5070000}"/>
    <cellStyle name="_사전원가심의1_천안용곡1_공내역서_울산천곡설계비_공용부" xfId="1990" xr:uid="{00000000-0005-0000-0000-0000B6070000}"/>
    <cellStyle name="_사전원가심의1_천안용곡1_공내역서_울산천곡설계비_공용부_공용부" xfId="1991" xr:uid="{00000000-0005-0000-0000-0000B7070000}"/>
    <cellStyle name="_사전원가심의1_천안용곡1_공내역서_울산천곡설계비_공용부_공용부_공용부" xfId="1992" xr:uid="{00000000-0005-0000-0000-0000B8070000}"/>
    <cellStyle name="_사전원가심의1_천안용곡1_공내역서_울산천곡설계비_광주운암내역서(현설용)" xfId="1993" xr:uid="{00000000-0005-0000-0000-0000B9070000}"/>
    <cellStyle name="_사전원가심의1_천안용곡1_공내역서_울산천곡설계비_목포남악내역서" xfId="1994" xr:uid="{00000000-0005-0000-0000-0000BA070000}"/>
    <cellStyle name="_사전원가심의1_천안용곡1_공내역서_울산천곡설계비_삼성동I'PARK스포츠센타 보수공사(제출)" xfId="1995" xr:uid="{00000000-0005-0000-0000-0000BB070000}"/>
    <cellStyle name="_사전원가심의1_천안용곡1_공내역서_울산천곡설계비_전기공사(추가)" xfId="1996" xr:uid="{00000000-0005-0000-0000-0000BC070000}"/>
    <cellStyle name="_사전원가심의1_천안용곡1_공내역서_울산천곡설계비_종로무악 MH공사(실행)" xfId="1997" xr:uid="{00000000-0005-0000-0000-0000BD070000}"/>
    <cellStyle name="_사전원가심의1_천안용곡1_공내역서_전기공사(추가)" xfId="1998" xr:uid="{00000000-0005-0000-0000-0000BE070000}"/>
    <cellStyle name="_사전원가심의1_천안용곡1_공내역서_종로무악 MH공사(실행)" xfId="1999" xr:uid="{00000000-0005-0000-0000-0000BF070000}"/>
    <cellStyle name="_사전원가심의1_천안용곡1_공용부" xfId="2000" xr:uid="{00000000-0005-0000-0000-0000C0070000}"/>
    <cellStyle name="_사전원가심의1_천안용곡1_공용부_공용부" xfId="2001" xr:uid="{00000000-0005-0000-0000-0000C1070000}"/>
    <cellStyle name="_사전원가심의1_천안용곡1_공용부_공용부_공용부" xfId="2002" xr:uid="{00000000-0005-0000-0000-0000C2070000}"/>
    <cellStyle name="_사전원가심의1_천안용곡1_광주운암내역서(현설용)" xfId="2003" xr:uid="{00000000-0005-0000-0000-0000C3070000}"/>
    <cellStyle name="_사전원가심의1_천안용곡1_목포남악내역서" xfId="2004" xr:uid="{00000000-0005-0000-0000-0000C4070000}"/>
    <cellStyle name="_사전원가심의1_천안용곡1_삼성동I'PARK스포츠센타 보수공사(제출)" xfId="2005" xr:uid="{00000000-0005-0000-0000-0000C5070000}"/>
    <cellStyle name="_사전원가심의1_천안용곡1_울산천곡MH실행(재입찰)" xfId="2006" xr:uid="{00000000-0005-0000-0000-0000C6070000}"/>
    <cellStyle name="_사전원가심의1_천안용곡1_울산천곡MH실행(재입찰)_공용부" xfId="2007" xr:uid="{00000000-0005-0000-0000-0000C7070000}"/>
    <cellStyle name="_사전원가심의1_천안용곡1_울산천곡MH실행(재입찰)_공용부_공용부" xfId="2008" xr:uid="{00000000-0005-0000-0000-0000C8070000}"/>
    <cellStyle name="_사전원가심의1_천안용곡1_울산천곡MH실행(재입찰)_공용부_공용부_공용부" xfId="2009" xr:uid="{00000000-0005-0000-0000-0000C9070000}"/>
    <cellStyle name="_사전원가심의1_천안용곡1_울산천곡MH실행(재입찰)_광주운암내역서(현설용)" xfId="2010" xr:uid="{00000000-0005-0000-0000-0000CA070000}"/>
    <cellStyle name="_사전원가심의1_천안용곡1_울산천곡MH실행(재입찰)_목포남악내역서" xfId="2011" xr:uid="{00000000-0005-0000-0000-0000CB070000}"/>
    <cellStyle name="_사전원가심의1_천안용곡1_울산천곡MH실행(재입찰)_삼성동I'PARK스포츠센타 보수공사(제출)" xfId="2012" xr:uid="{00000000-0005-0000-0000-0000CC070000}"/>
    <cellStyle name="_사전원가심의1_천안용곡1_울산천곡MH실행(재입찰)_전기공사(추가)" xfId="2013" xr:uid="{00000000-0005-0000-0000-0000CD070000}"/>
    <cellStyle name="_사전원가심의1_천안용곡1_울산천곡MH실행(재입찰)_종로무악 MH공사(실행)" xfId="2014" xr:uid="{00000000-0005-0000-0000-0000CE070000}"/>
    <cellStyle name="_사전원가심의1_천안용곡1_울산천곡설계비" xfId="2015" xr:uid="{00000000-0005-0000-0000-0000CF070000}"/>
    <cellStyle name="_사전원가심의1_천안용곡1_울산천곡설계비_공용부" xfId="2016" xr:uid="{00000000-0005-0000-0000-0000D0070000}"/>
    <cellStyle name="_사전원가심의1_천안용곡1_울산천곡설계비_공용부_공용부" xfId="2017" xr:uid="{00000000-0005-0000-0000-0000D1070000}"/>
    <cellStyle name="_사전원가심의1_천안용곡1_울산천곡설계비_공용부_공용부_공용부" xfId="2018" xr:uid="{00000000-0005-0000-0000-0000D2070000}"/>
    <cellStyle name="_사전원가심의1_천안용곡1_울산천곡설계비_광주운암내역서(현설용)" xfId="2019" xr:uid="{00000000-0005-0000-0000-0000D3070000}"/>
    <cellStyle name="_사전원가심의1_천안용곡1_울산천곡설계비_목포남악내역서" xfId="2020" xr:uid="{00000000-0005-0000-0000-0000D4070000}"/>
    <cellStyle name="_사전원가심의1_천안용곡1_울산천곡설계비_삼성동I'PARK스포츠센타 보수공사(제출)" xfId="2021" xr:uid="{00000000-0005-0000-0000-0000D5070000}"/>
    <cellStyle name="_사전원가심의1_천안용곡1_울산천곡설계비_전기공사(추가)" xfId="2022" xr:uid="{00000000-0005-0000-0000-0000D6070000}"/>
    <cellStyle name="_사전원가심의1_천안용곡1_울산천곡설계비_종로무악 MH공사(실행)" xfId="2023" xr:uid="{00000000-0005-0000-0000-0000D7070000}"/>
    <cellStyle name="_사전원가심의1_천안용곡1_전기공사(추가)" xfId="2024" xr:uid="{00000000-0005-0000-0000-0000D8070000}"/>
    <cellStyle name="_사전원가심의1_천안용곡1_종로무악 MH공사(실행)" xfId="2025" xr:uid="{00000000-0005-0000-0000-0000D9070000}"/>
    <cellStyle name="_사전원가심의1_충주연수MH0308" xfId="2026" xr:uid="{00000000-0005-0000-0000-0000DA070000}"/>
    <cellStyle name="_사전원가심의1_충주연수MH0308_경희대치과대학" xfId="2027" xr:uid="{00000000-0005-0000-0000-0000DB070000}"/>
    <cellStyle name="_사전원가심의1_충주연수MH0308_경희대치과대학_공용부" xfId="2028" xr:uid="{00000000-0005-0000-0000-0000DC070000}"/>
    <cellStyle name="_사전원가심의1_충주연수MH0308_경희대치과대학_공용부_공용부" xfId="2029" xr:uid="{00000000-0005-0000-0000-0000DD070000}"/>
    <cellStyle name="_사전원가심의1_충주연수MH0308_경희대치과대학_공용부_공용부_공용부" xfId="2030" xr:uid="{00000000-0005-0000-0000-0000DE070000}"/>
    <cellStyle name="_사전원가심의1_충주연수MH0308_경희대치과대학_광주운암내역서(현설용)" xfId="2031" xr:uid="{00000000-0005-0000-0000-0000DF070000}"/>
    <cellStyle name="_사전원가심의1_충주연수MH0308_경희대치과대학_목포남악내역서" xfId="2032" xr:uid="{00000000-0005-0000-0000-0000E0070000}"/>
    <cellStyle name="_사전원가심의1_충주연수MH0308_경희대치과대학_삼성동I'PARK스포츠센타 보수공사(제출)" xfId="2033" xr:uid="{00000000-0005-0000-0000-0000E1070000}"/>
    <cellStyle name="_사전원가심의1_충주연수MH0308_경희대치과대학_전기공사(추가)" xfId="2034" xr:uid="{00000000-0005-0000-0000-0000E2070000}"/>
    <cellStyle name="_사전원가심의1_충주연수MH0308_경희대치과대학_종로무악 MH공사(실행)" xfId="2035" xr:uid="{00000000-0005-0000-0000-0000E3070000}"/>
    <cellStyle name="_사전원가심의1_충주연수MH0308_공내역서" xfId="2036" xr:uid="{00000000-0005-0000-0000-0000E4070000}"/>
    <cellStyle name="_사전원가심의1_충주연수MH0308_공내역서_경희대치과대학" xfId="2037" xr:uid="{00000000-0005-0000-0000-0000E5070000}"/>
    <cellStyle name="_사전원가심의1_충주연수MH0308_공내역서_경희대치과대학_공용부" xfId="2038" xr:uid="{00000000-0005-0000-0000-0000E6070000}"/>
    <cellStyle name="_사전원가심의1_충주연수MH0308_공내역서_경희대치과대학_공용부_공용부" xfId="2039" xr:uid="{00000000-0005-0000-0000-0000E7070000}"/>
    <cellStyle name="_사전원가심의1_충주연수MH0308_공내역서_경희대치과대학_공용부_공용부_공용부" xfId="2040" xr:uid="{00000000-0005-0000-0000-0000E8070000}"/>
    <cellStyle name="_사전원가심의1_충주연수MH0308_공내역서_경희대치과대학_광주운암내역서(현설용)" xfId="2041" xr:uid="{00000000-0005-0000-0000-0000E9070000}"/>
    <cellStyle name="_사전원가심의1_충주연수MH0308_공내역서_경희대치과대학_목포남악내역서" xfId="2042" xr:uid="{00000000-0005-0000-0000-0000EA070000}"/>
    <cellStyle name="_사전원가심의1_충주연수MH0308_공내역서_경희대치과대학_삼성동I'PARK스포츠센타 보수공사(제출)" xfId="2043" xr:uid="{00000000-0005-0000-0000-0000EB070000}"/>
    <cellStyle name="_사전원가심의1_충주연수MH0308_공내역서_경희대치과대학_전기공사(추가)" xfId="2044" xr:uid="{00000000-0005-0000-0000-0000EC070000}"/>
    <cellStyle name="_사전원가심의1_충주연수MH0308_공내역서_경희대치과대학_종로무악 MH공사(실행)" xfId="2045" xr:uid="{00000000-0005-0000-0000-0000ED070000}"/>
    <cellStyle name="_사전원가심의1_충주연수MH0308_공내역서_공용부" xfId="2046" xr:uid="{00000000-0005-0000-0000-0000EE070000}"/>
    <cellStyle name="_사전원가심의1_충주연수MH0308_공내역서_공용부_공용부" xfId="2047" xr:uid="{00000000-0005-0000-0000-0000EF070000}"/>
    <cellStyle name="_사전원가심의1_충주연수MH0308_공내역서_공용부_공용부_공용부" xfId="2048" xr:uid="{00000000-0005-0000-0000-0000F0070000}"/>
    <cellStyle name="_사전원가심의1_충주연수MH0308_공내역서_광주운암내역서(현설용)" xfId="2049" xr:uid="{00000000-0005-0000-0000-0000F1070000}"/>
    <cellStyle name="_사전원가심의1_충주연수MH0308_공내역서_목포남악내역서" xfId="2050" xr:uid="{00000000-0005-0000-0000-0000F2070000}"/>
    <cellStyle name="_사전원가심의1_충주연수MH0308_공내역서_삼성동I'PARK스포츠센타 보수공사(제출)" xfId="2051" xr:uid="{00000000-0005-0000-0000-0000F3070000}"/>
    <cellStyle name="_사전원가심의1_충주연수MH0308_공내역서_울산천곡MH실행(재입찰)" xfId="2052" xr:uid="{00000000-0005-0000-0000-0000F4070000}"/>
    <cellStyle name="_사전원가심의1_충주연수MH0308_공내역서_울산천곡MH실행(재입찰)_공용부" xfId="2053" xr:uid="{00000000-0005-0000-0000-0000F5070000}"/>
    <cellStyle name="_사전원가심의1_충주연수MH0308_공내역서_울산천곡MH실행(재입찰)_공용부_공용부" xfId="2054" xr:uid="{00000000-0005-0000-0000-0000F6070000}"/>
    <cellStyle name="_사전원가심의1_충주연수MH0308_공내역서_울산천곡MH실행(재입찰)_공용부_공용부_공용부" xfId="2055" xr:uid="{00000000-0005-0000-0000-0000F7070000}"/>
    <cellStyle name="_사전원가심의1_충주연수MH0308_공내역서_울산천곡MH실행(재입찰)_광주운암내역서(현설용)" xfId="2056" xr:uid="{00000000-0005-0000-0000-0000F8070000}"/>
    <cellStyle name="_사전원가심의1_충주연수MH0308_공내역서_울산천곡MH실행(재입찰)_목포남악내역서" xfId="2057" xr:uid="{00000000-0005-0000-0000-0000F9070000}"/>
    <cellStyle name="_사전원가심의1_충주연수MH0308_공내역서_울산천곡MH실행(재입찰)_삼성동I'PARK스포츠센타 보수공사(제출)" xfId="2058" xr:uid="{00000000-0005-0000-0000-0000FA070000}"/>
    <cellStyle name="_사전원가심의1_충주연수MH0308_공내역서_울산천곡MH실행(재입찰)_전기공사(추가)" xfId="2059" xr:uid="{00000000-0005-0000-0000-0000FB070000}"/>
    <cellStyle name="_사전원가심의1_충주연수MH0308_공내역서_울산천곡MH실행(재입찰)_종로무악 MH공사(실행)" xfId="2060" xr:uid="{00000000-0005-0000-0000-0000FC070000}"/>
    <cellStyle name="_사전원가심의1_충주연수MH0308_공내역서_울산천곡설계비" xfId="2061" xr:uid="{00000000-0005-0000-0000-0000FD070000}"/>
    <cellStyle name="_사전원가심의1_충주연수MH0308_공내역서_울산천곡설계비_공용부" xfId="2062" xr:uid="{00000000-0005-0000-0000-0000FE070000}"/>
    <cellStyle name="_사전원가심의1_충주연수MH0308_공내역서_울산천곡설계비_공용부_공용부" xfId="2063" xr:uid="{00000000-0005-0000-0000-0000FF070000}"/>
    <cellStyle name="_사전원가심의1_충주연수MH0308_공내역서_울산천곡설계비_공용부_공용부_공용부" xfId="2064" xr:uid="{00000000-0005-0000-0000-000000080000}"/>
    <cellStyle name="_사전원가심의1_충주연수MH0308_공내역서_울산천곡설계비_광주운암내역서(현설용)" xfId="2065" xr:uid="{00000000-0005-0000-0000-000001080000}"/>
    <cellStyle name="_사전원가심의1_충주연수MH0308_공내역서_울산천곡설계비_목포남악내역서" xfId="2066" xr:uid="{00000000-0005-0000-0000-000002080000}"/>
    <cellStyle name="_사전원가심의1_충주연수MH0308_공내역서_울산천곡설계비_삼성동I'PARK스포츠센타 보수공사(제출)" xfId="2067" xr:uid="{00000000-0005-0000-0000-000003080000}"/>
    <cellStyle name="_사전원가심의1_충주연수MH0308_공내역서_울산천곡설계비_전기공사(추가)" xfId="2068" xr:uid="{00000000-0005-0000-0000-000004080000}"/>
    <cellStyle name="_사전원가심의1_충주연수MH0308_공내역서_울산천곡설계비_종로무악 MH공사(실행)" xfId="2069" xr:uid="{00000000-0005-0000-0000-000005080000}"/>
    <cellStyle name="_사전원가심의1_충주연수MH0308_공내역서_전기공사(추가)" xfId="2070" xr:uid="{00000000-0005-0000-0000-000006080000}"/>
    <cellStyle name="_사전원가심의1_충주연수MH0308_공내역서_종로무악 MH공사(실행)" xfId="2071" xr:uid="{00000000-0005-0000-0000-000007080000}"/>
    <cellStyle name="_사전원가심의1_충주연수MH0308_공용부" xfId="2072" xr:uid="{00000000-0005-0000-0000-000008080000}"/>
    <cellStyle name="_사전원가심의1_충주연수MH0308_공용부_공용부" xfId="2073" xr:uid="{00000000-0005-0000-0000-000009080000}"/>
    <cellStyle name="_사전원가심의1_충주연수MH0308_공용부_공용부_공용부" xfId="2074" xr:uid="{00000000-0005-0000-0000-00000A080000}"/>
    <cellStyle name="_사전원가심의1_충주연수MH0308_광주운암내역서(현설용)" xfId="2075" xr:uid="{00000000-0005-0000-0000-00000B080000}"/>
    <cellStyle name="_사전원가심의1_충주연수MH0308_목포남악내역서" xfId="2076" xr:uid="{00000000-0005-0000-0000-00000C080000}"/>
    <cellStyle name="_사전원가심의1_충주연수MH0308_삼성동I'PARK스포츠센타 보수공사(제출)" xfId="2077" xr:uid="{00000000-0005-0000-0000-00000D080000}"/>
    <cellStyle name="_사전원가심의1_충주연수MH0308_울산천곡MH실행(재입찰)" xfId="2078" xr:uid="{00000000-0005-0000-0000-00000E080000}"/>
    <cellStyle name="_사전원가심의1_충주연수MH0308_울산천곡MH실행(재입찰)_공용부" xfId="2079" xr:uid="{00000000-0005-0000-0000-00000F080000}"/>
    <cellStyle name="_사전원가심의1_충주연수MH0308_울산천곡MH실행(재입찰)_공용부_공용부" xfId="2080" xr:uid="{00000000-0005-0000-0000-000010080000}"/>
    <cellStyle name="_사전원가심의1_충주연수MH0308_울산천곡MH실행(재입찰)_공용부_공용부_공용부" xfId="2081" xr:uid="{00000000-0005-0000-0000-000011080000}"/>
    <cellStyle name="_사전원가심의1_충주연수MH0308_울산천곡MH실행(재입찰)_광주운암내역서(현설용)" xfId="2082" xr:uid="{00000000-0005-0000-0000-000012080000}"/>
    <cellStyle name="_사전원가심의1_충주연수MH0308_울산천곡MH실행(재입찰)_목포남악내역서" xfId="2083" xr:uid="{00000000-0005-0000-0000-000013080000}"/>
    <cellStyle name="_사전원가심의1_충주연수MH0308_울산천곡MH실행(재입찰)_삼성동I'PARK스포츠센타 보수공사(제출)" xfId="2084" xr:uid="{00000000-0005-0000-0000-000014080000}"/>
    <cellStyle name="_사전원가심의1_충주연수MH0308_울산천곡MH실행(재입찰)_전기공사(추가)" xfId="2085" xr:uid="{00000000-0005-0000-0000-000015080000}"/>
    <cellStyle name="_사전원가심의1_충주연수MH0308_울산천곡MH실행(재입찰)_종로무악 MH공사(실행)" xfId="2086" xr:uid="{00000000-0005-0000-0000-000016080000}"/>
    <cellStyle name="_사전원가심의1_충주연수MH0308_울산천곡설계비" xfId="2087" xr:uid="{00000000-0005-0000-0000-000017080000}"/>
    <cellStyle name="_사전원가심의1_충주연수MH0308_울산천곡설계비_공용부" xfId="2088" xr:uid="{00000000-0005-0000-0000-000018080000}"/>
    <cellStyle name="_사전원가심의1_충주연수MH0308_울산천곡설계비_공용부_공용부" xfId="2089" xr:uid="{00000000-0005-0000-0000-000019080000}"/>
    <cellStyle name="_사전원가심의1_충주연수MH0308_울산천곡설계비_공용부_공용부_공용부" xfId="2090" xr:uid="{00000000-0005-0000-0000-00001A080000}"/>
    <cellStyle name="_사전원가심의1_충주연수MH0308_울산천곡설계비_광주운암내역서(현설용)" xfId="2091" xr:uid="{00000000-0005-0000-0000-00001B080000}"/>
    <cellStyle name="_사전원가심의1_충주연수MH0308_울산천곡설계비_목포남악내역서" xfId="2092" xr:uid="{00000000-0005-0000-0000-00001C080000}"/>
    <cellStyle name="_사전원가심의1_충주연수MH0308_울산천곡설계비_삼성동I'PARK스포츠센타 보수공사(제출)" xfId="2093" xr:uid="{00000000-0005-0000-0000-00001D080000}"/>
    <cellStyle name="_사전원가심의1_충주연수MH0308_울산천곡설계비_전기공사(추가)" xfId="2094" xr:uid="{00000000-0005-0000-0000-00001E080000}"/>
    <cellStyle name="_사전원가심의1_충주연수MH0308_울산천곡설계비_종로무악 MH공사(실행)" xfId="2095" xr:uid="{00000000-0005-0000-0000-00001F080000}"/>
    <cellStyle name="_사전원가심의1_충주연수MH0308_전기공사(추가)" xfId="2096" xr:uid="{00000000-0005-0000-0000-000020080000}"/>
    <cellStyle name="_사전원가심의1_충주연수MH0308_종로무악 MH공사(실행)" xfId="2097" xr:uid="{00000000-0005-0000-0000-000021080000}"/>
    <cellStyle name="_산동 농협동로지소 청사 신축공사-1" xfId="2098" xr:uid="{00000000-0005-0000-0000-000022080000}"/>
    <cellStyle name="_산동 농협동로지소 청사 신축공사-1_1" xfId="2099" xr:uid="{00000000-0005-0000-0000-000023080000}"/>
    <cellStyle name="_산출001-공동구공사" xfId="2100" xr:uid="{00000000-0005-0000-0000-000024080000}"/>
    <cellStyle name="_삼성 실행 내역 수정" xfId="2101" xr:uid="{00000000-0005-0000-0000-000025080000}"/>
    <cellStyle name="_삼성동MH" xfId="2102" xr:uid="{00000000-0005-0000-0000-000026080000}"/>
    <cellStyle name="_삼성화재서초사옥" xfId="2103" xr:uid="{00000000-0005-0000-0000-000027080000}"/>
    <cellStyle name="_삼풍아파트임시" xfId="2104" xr:uid="{00000000-0005-0000-0000-000028080000}"/>
    <cellStyle name="_삼호임시" xfId="2105" xr:uid="{00000000-0005-0000-0000-000029080000}"/>
    <cellStyle name="_서대전정산내역서(MCC)" xfId="2106" xr:uid="{00000000-0005-0000-0000-00002A080000}"/>
    <cellStyle name="_서대전정산내역서(전력제어)" xfId="2107" xr:uid="{00000000-0005-0000-0000-00002B080000}"/>
    <cellStyle name="_서산점" xfId="2108" xr:uid="{00000000-0005-0000-0000-00002C080000}"/>
    <cellStyle name="_서산점(약전)자재부최종확정" xfId="2109" xr:uid="{00000000-0005-0000-0000-00002D080000}"/>
    <cellStyle name="_서울 시니어스분당타워" xfId="2110" xr:uid="{00000000-0005-0000-0000-00002E080000}"/>
    <cellStyle name="_석수고" xfId="2111" xr:uid="{00000000-0005-0000-0000-00002F080000}"/>
    <cellStyle name="_설계추정2(토목)대림" xfId="2112" xr:uid="{00000000-0005-0000-0000-000030080000}"/>
    <cellStyle name="_성덕초,명진초,신길(토목)" xfId="2113" xr:uid="{00000000-0005-0000-0000-000031080000}"/>
    <cellStyle name="_세기기전" xfId="2114" xr:uid="{00000000-0005-0000-0000-000032080000}"/>
    <cellStyle name="_세부내역바라시(1)" xfId="2115" xr:uid="{00000000-0005-0000-0000-000033080000}"/>
    <cellStyle name="_세종입찰실행(3.15)" xfId="2116" xr:uid="{00000000-0005-0000-0000-000034080000}"/>
    <cellStyle name="_센터블 스파신축공사(토목공사-정주공영)" xfId="2117" xr:uid="{00000000-0005-0000-0000-000035080000}"/>
    <cellStyle name="_센터블 실행내역" xfId="2118" xr:uid="{00000000-0005-0000-0000-000036080000}"/>
    <cellStyle name="_센터블스파설계변경내역(제출)" xfId="2119" xr:uid="{00000000-0005-0000-0000-000037080000}"/>
    <cellStyle name="_소방전기(최종)" xfId="2120" xr:uid="{00000000-0005-0000-0000-000038080000}"/>
    <cellStyle name="_송학실행안" xfId="2121" xr:uid="{00000000-0005-0000-0000-000039080000}"/>
    <cellStyle name="_송학실행안_구기동(제출)(95.0)(031121)" xfId="2122" xr:uid="{00000000-0005-0000-0000-00003A080000}"/>
    <cellStyle name="_송학실행안_구기동레포츠센타제출" xfId="2123" xr:uid="{00000000-0005-0000-0000-00003B080000}"/>
    <cellStyle name="_송학실행안_번암견적의뢰(협력)" xfId="2124" xr:uid="{00000000-0005-0000-0000-00003C080000}"/>
    <cellStyle name="_송학실행안_번암견적의뢰(협력)_구기동(제출)(95.0)(031121)" xfId="2125" xr:uid="{00000000-0005-0000-0000-00003D080000}"/>
    <cellStyle name="_송학실행안_번암견적의뢰(협력)_구기동레포츠센타제출" xfId="2126" xr:uid="{00000000-0005-0000-0000-00003E080000}"/>
    <cellStyle name="_송학실행안_번암견적의뢰(협력)_신천동주상복합신축공사" xfId="2127" xr:uid="{00000000-0005-0000-0000-00003F080000}"/>
    <cellStyle name="_송학실행안_번암견적의뢰(협력)_용답동오피스텔가실행" xfId="2128" xr:uid="{00000000-0005-0000-0000-000040080000}"/>
    <cellStyle name="_송학실행안_신천동주상복합신축공사" xfId="2129" xr:uid="{00000000-0005-0000-0000-000041080000}"/>
    <cellStyle name="_송학실행안_용답동오피스텔가실행" xfId="2130" xr:uid="{00000000-0005-0000-0000-000042080000}"/>
    <cellStyle name="_송학하수투찰" xfId="2131" xr:uid="{00000000-0005-0000-0000-000043080000}"/>
    <cellStyle name="_송학하수투찰_구기동(제출)(95.0)(031121)" xfId="2132" xr:uid="{00000000-0005-0000-0000-000044080000}"/>
    <cellStyle name="_송학하수투찰_구기동레포츠센타제출" xfId="2133" xr:uid="{00000000-0005-0000-0000-000045080000}"/>
    <cellStyle name="_송학하수투찰_번암견적의뢰(협력)" xfId="2134" xr:uid="{00000000-0005-0000-0000-000046080000}"/>
    <cellStyle name="_송학하수투찰_번암견적의뢰(협력)_구기동(제출)(95.0)(031121)" xfId="2135" xr:uid="{00000000-0005-0000-0000-000047080000}"/>
    <cellStyle name="_송학하수투찰_번암견적의뢰(협력)_구기동레포츠센타제출" xfId="2136" xr:uid="{00000000-0005-0000-0000-000048080000}"/>
    <cellStyle name="_송학하수투찰_번암견적의뢰(협력)_신천동주상복합신축공사" xfId="2137" xr:uid="{00000000-0005-0000-0000-000049080000}"/>
    <cellStyle name="_송학하수투찰_번암견적의뢰(협력)_용답동오피스텔가실행" xfId="2138" xr:uid="{00000000-0005-0000-0000-00004A080000}"/>
    <cellStyle name="_송학하수투찰_신천동주상복합신축공사" xfId="2139" xr:uid="{00000000-0005-0000-0000-00004B080000}"/>
    <cellStyle name="_송학하수투찰_용답동오피스텔가실행" xfId="2140" xr:uid="{00000000-0005-0000-0000-00004C080000}"/>
    <cellStyle name="_송학하수품의(설계넣고)" xfId="2141" xr:uid="{00000000-0005-0000-0000-00004D080000}"/>
    <cellStyle name="_송학하수품의(설계넣고)_구기동(제출)(95.0)(031121)" xfId="2142" xr:uid="{00000000-0005-0000-0000-00004E080000}"/>
    <cellStyle name="_송학하수품의(설계넣고)_구기동레포츠센타제출" xfId="2143" xr:uid="{00000000-0005-0000-0000-00004F080000}"/>
    <cellStyle name="_송학하수품의(설계넣고)_무안-광주2공구(협력)수정" xfId="2144" xr:uid="{00000000-0005-0000-0000-000050080000}"/>
    <cellStyle name="_송학하수품의(설계넣고)_무안-광주2공구(협력)수정_구기동(제출)(95.0)(031121)" xfId="2145" xr:uid="{00000000-0005-0000-0000-000051080000}"/>
    <cellStyle name="_송학하수품의(설계넣고)_무안-광주2공구(협력)수정_구기동레포츠센타제출" xfId="2146" xr:uid="{00000000-0005-0000-0000-000052080000}"/>
    <cellStyle name="_송학하수품의(설계넣고)_무안-광주2공구(협력)수정_신천동주상복합신축공사" xfId="2147" xr:uid="{00000000-0005-0000-0000-000053080000}"/>
    <cellStyle name="_송학하수품의(설계넣고)_무안-광주2공구(협력)수정_용답동오피스텔가실행" xfId="2148" xr:uid="{00000000-0005-0000-0000-000054080000}"/>
    <cellStyle name="_송학하수품의(설계넣고)_번암견적의뢰(협력)" xfId="2149" xr:uid="{00000000-0005-0000-0000-000055080000}"/>
    <cellStyle name="_송학하수품의(설계넣고)_번암견적의뢰(협력)_구기동(제출)(95.0)(031121)" xfId="2150" xr:uid="{00000000-0005-0000-0000-000056080000}"/>
    <cellStyle name="_송학하수품의(설계넣고)_번암견적의뢰(협력)_구기동레포츠센타제출" xfId="2151" xr:uid="{00000000-0005-0000-0000-000057080000}"/>
    <cellStyle name="_송학하수품의(설계넣고)_번암견적의뢰(협력)_신천동주상복합신축공사" xfId="2152" xr:uid="{00000000-0005-0000-0000-000058080000}"/>
    <cellStyle name="_송학하수품의(설계넣고)_번암견적의뢰(협력)_용답동오피스텔가실행" xfId="2153" xr:uid="{00000000-0005-0000-0000-000059080000}"/>
    <cellStyle name="_송학하수품의(설계넣고)_신천동주상복합신축공사" xfId="2154" xr:uid="{00000000-0005-0000-0000-00005A080000}"/>
    <cellStyle name="_송학하수품의(설계넣고)_용답동오피스텔가실행" xfId="2155" xr:uid="{00000000-0005-0000-0000-00005B080000}"/>
    <cellStyle name="_송학하수품의(설계넣고)_적상무주IC도로(1공구)" xfId="2156" xr:uid="{00000000-0005-0000-0000-00005C080000}"/>
    <cellStyle name="_송학하수품의(설계넣고)_적상무주IC도로(1공구)_구기동(제출)(95.0)(031121)" xfId="2157" xr:uid="{00000000-0005-0000-0000-00005D080000}"/>
    <cellStyle name="_송학하수품의(설계넣고)_적상무주IC도로(1공구)_구기동레포츠센타제출" xfId="2158" xr:uid="{00000000-0005-0000-0000-00005E080000}"/>
    <cellStyle name="_송학하수품의(설계넣고)_적상무주IC도로(1공구)_신천동주상복합신축공사" xfId="2159" xr:uid="{00000000-0005-0000-0000-00005F080000}"/>
    <cellStyle name="_송학하수품의(설계넣고)_적상무주IC도로(1공구)_용답동오피스텔가실행" xfId="2160" xr:uid="{00000000-0005-0000-0000-000060080000}"/>
    <cellStyle name="_송현실행내역" xfId="2161" xr:uid="{00000000-0005-0000-0000-000061080000}"/>
    <cellStyle name="_수량산출" xfId="2162" xr:uid="{00000000-0005-0000-0000-000062080000}"/>
    <cellStyle name="_수술실" xfId="2163" xr:uid="{00000000-0005-0000-0000-000063080000}"/>
    <cellStyle name="_수영강변결재양식_본" xfId="2164" xr:uid="{00000000-0005-0000-0000-000064080000}"/>
    <cellStyle name="_수장공사" xfId="2165" xr:uid="{00000000-0005-0000-0000-000065080000}"/>
    <cellStyle name="_수정-공항운송도급내역(0917)" xfId="2166" xr:uid="{00000000-0005-0000-0000-000066080000}"/>
    <cellStyle name="_수지 E-MART" xfId="2167" xr:uid="{00000000-0005-0000-0000-000067080000}"/>
    <cellStyle name="_수축열시스템051031" xfId="2168" xr:uid="{00000000-0005-0000-0000-000068080000}"/>
    <cellStyle name="_수축열시스템051031-철도공사 물량내역" xfId="2169" xr:uid="{00000000-0005-0000-0000-000069080000}"/>
    <cellStyle name="_수축열시스템051216" xfId="2170" xr:uid="{00000000-0005-0000-0000-00006A080000}"/>
    <cellStyle name="_습식공사" xfId="2171" xr:uid="{00000000-0005-0000-0000-00006B080000}"/>
    <cellStyle name="_승희-타워팰리스 3차" xfId="2172" xr:uid="{00000000-0005-0000-0000-00006C080000}"/>
    <cellStyle name="_시험동기성2회" xfId="2173" xr:uid="{00000000-0005-0000-0000-00006D080000}"/>
    <cellStyle name="_신관지하1층약전(2공구)자재부제출" xfId="2174" xr:uid="{00000000-0005-0000-0000-00006E080000}"/>
    <cellStyle name="_신도림아파트임시" xfId="2175" xr:uid="{00000000-0005-0000-0000-00006F080000}"/>
    <cellStyle name="_신세계연수점" xfId="2176" xr:uid="{00000000-0005-0000-0000-000070080000}"/>
    <cellStyle name="_신안전기" xfId="2177" xr:uid="{00000000-0005-0000-0000-000071080000}"/>
    <cellStyle name="_신일대구각산모델내역(실행92)051118" xfId="2178" xr:uid="{00000000-0005-0000-0000-000072080000}"/>
    <cellStyle name="_신중점현장20020810굴포천" xfId="2179" xr:uid="{00000000-0005-0000-0000-000073080000}"/>
    <cellStyle name="_신촌 트리플지점 내장공사" xfId="2180" xr:uid="{00000000-0005-0000-0000-000074080000}"/>
    <cellStyle name="_신촌(2차)트리플지점(원본)" xfId="2181" xr:uid="{00000000-0005-0000-0000-000075080000}"/>
    <cellStyle name="_실리콘사진" xfId="2182" xr:uid="{00000000-0005-0000-0000-000076080000}"/>
    <cellStyle name="_실행" xfId="2183" xr:uid="{00000000-0005-0000-0000-000077080000}"/>
    <cellStyle name="_실행01-총괄가실행(0828)" xfId="2184" xr:uid="{00000000-0005-0000-0000-000078080000}"/>
    <cellStyle name="_실행갑지" xfId="2185" xr:uid="{00000000-0005-0000-0000-000079080000}"/>
    <cellStyle name="_실행갑지(변경)" xfId="2186" xr:uid="{00000000-0005-0000-0000-00007A080000}"/>
    <cellStyle name="_실행내역(아+부)" xfId="2187" xr:uid="{00000000-0005-0000-0000-00007B080000}"/>
    <cellStyle name="_實行內譯書(평내)" xfId="2188" xr:uid="{00000000-0005-0000-0000-00007C080000}"/>
    <cellStyle name="_실행내역수정(2차6.14)" xfId="2189" xr:uid="{00000000-0005-0000-0000-00007D080000}"/>
    <cellStyle name="_실행양식견본" xfId="2190" xr:uid="{00000000-0005-0000-0000-00007E080000}"/>
    <cellStyle name="_실행예산(사장님)" xfId="2191" xr:uid="{00000000-0005-0000-0000-00007F080000}"/>
    <cellStyle name="_실행예산(최종사장님승인)" xfId="2192" xr:uid="{00000000-0005-0000-0000-000080080000}"/>
    <cellStyle name="_실행예산2" xfId="2193" xr:uid="{00000000-0005-0000-0000-000081080000}"/>
    <cellStyle name="_실행예산품의서" xfId="2194" xr:uid="{00000000-0005-0000-0000-000082080000}"/>
    <cellStyle name="_씽크대설치사진" xfId="2195" xr:uid="{00000000-0005-0000-0000-000083080000}"/>
    <cellStyle name="_아미고터워 리모델링공사(계약,실행내역)9월.3일 " xfId="2196" xr:uid="{00000000-0005-0000-0000-000084080000}"/>
    <cellStyle name="_아크로리버기준-개산견적기준(건축)" xfId="2197" xr:uid="{00000000-0005-0000-0000-000085080000}"/>
    <cellStyle name="_안동최종정산" xfId="2198" xr:uid="{00000000-0005-0000-0000-000086080000}"/>
    <cellStyle name="_안전관리비" xfId="2199" xr:uid="{00000000-0005-0000-0000-000087080000}"/>
    <cellStyle name="_약전설비년간단가" xfId="2200" xr:uid="{00000000-0005-0000-0000-000088080000}"/>
    <cellStyle name="_양식" xfId="2201" xr:uid="{00000000-0005-0000-0000-000089080000}"/>
    <cellStyle name="_양식1 - 종료분석 갑" xfId="2202" xr:uid="{00000000-0005-0000-0000-00008A080000}"/>
    <cellStyle name="_양재 HUB PRIMO 발코니 확장공사" xfId="2203" xr:uid="{00000000-0005-0000-0000-00008B080000}"/>
    <cellStyle name="_양재동 도매센타(수정1006)" xfId="2204" xr:uid="{00000000-0005-0000-0000-00008C080000}"/>
    <cellStyle name="_업무연락" xfId="2205" xr:uid="{00000000-0005-0000-0000-00008D080000}"/>
    <cellStyle name="_업무협조전(1)" xfId="2206" xr:uid="{00000000-0005-0000-0000-00008E080000}"/>
    <cellStyle name="_여의도(실행)" xfId="2207" xr:uid="{00000000-0005-0000-0000-00008F080000}"/>
    <cellStyle name="_연수전기BM" xfId="2208" xr:uid="{00000000-0005-0000-0000-000090080000}"/>
    <cellStyle name="_염리v95" xfId="2209" xr:uid="{00000000-0005-0000-0000-000091080000}"/>
    <cellStyle name="_염리실행" xfId="2210" xr:uid="{00000000-0005-0000-0000-000092080000}"/>
    <cellStyle name="_영등포점 영화관" xfId="2211" xr:uid="{00000000-0005-0000-0000-000093080000}"/>
    <cellStyle name="_영등포점약전내역(자재부제출)" xfId="2212" xr:uid="{00000000-0005-0000-0000-000094080000}"/>
    <cellStyle name="_영업송부" xfId="2213" xr:uid="{00000000-0005-0000-0000-000095080000}"/>
    <cellStyle name="_영진테마파크 사우나공사" xfId="2214" xr:uid="{00000000-0005-0000-0000-000096080000}"/>
    <cellStyle name="_용인동백C2-3" xfId="2215" xr:uid="{00000000-0005-0000-0000-000097080000}"/>
    <cellStyle name="_용인동천APT" xfId="2216" xr:uid="{00000000-0005-0000-0000-000098080000}"/>
    <cellStyle name="_용인하수처리장" xfId="2217" xr:uid="{00000000-0005-0000-0000-000099080000}"/>
    <cellStyle name="_우" xfId="2218" xr:uid="{00000000-0005-0000-0000-00009A080000}"/>
    <cellStyle name="_우_광주평동실행" xfId="2219" xr:uid="{00000000-0005-0000-0000-00009B080000}"/>
    <cellStyle name="_우_광주평동실행_구기동(제출)(95.0)(031121)" xfId="2220" xr:uid="{00000000-0005-0000-0000-00009C080000}"/>
    <cellStyle name="_우_광주평동실행_구기동레포츠센타제출" xfId="2221" xr:uid="{00000000-0005-0000-0000-00009D080000}"/>
    <cellStyle name="_우_광주평동실행_번암견적의뢰(협력)" xfId="2222" xr:uid="{00000000-0005-0000-0000-00009E080000}"/>
    <cellStyle name="_우_광주평동실행_번암견적의뢰(협력)_구기동(제출)(95.0)(031121)" xfId="2223" xr:uid="{00000000-0005-0000-0000-00009F080000}"/>
    <cellStyle name="_우_광주평동실행_번암견적의뢰(협력)_구기동레포츠센타제출" xfId="2224" xr:uid="{00000000-0005-0000-0000-0000A0080000}"/>
    <cellStyle name="_우_광주평동실행_번암견적의뢰(협력)_신천동주상복합신축공사" xfId="2225" xr:uid="{00000000-0005-0000-0000-0000A1080000}"/>
    <cellStyle name="_우_광주평동실행_번암견적의뢰(협력)_용답동오피스텔가실행" xfId="2226" xr:uid="{00000000-0005-0000-0000-0000A2080000}"/>
    <cellStyle name="_우_광주평동실행_신천동주상복합신축공사" xfId="2227" xr:uid="{00000000-0005-0000-0000-0000A3080000}"/>
    <cellStyle name="_우_광주평동실행_용답동오피스텔가실행" xfId="2228" xr:uid="{00000000-0005-0000-0000-0000A4080000}"/>
    <cellStyle name="_우_광주평동품의1" xfId="2229" xr:uid="{00000000-0005-0000-0000-0000A5080000}"/>
    <cellStyle name="_우_광주평동품의1_구기동(제출)(95.0)(031121)" xfId="2230" xr:uid="{00000000-0005-0000-0000-0000A6080000}"/>
    <cellStyle name="_우_광주평동품의1_구기동레포츠센타제출" xfId="2231" xr:uid="{00000000-0005-0000-0000-0000A7080000}"/>
    <cellStyle name="_우_광주평동품의1_무안-광주2공구(협력)수정" xfId="2232" xr:uid="{00000000-0005-0000-0000-0000A8080000}"/>
    <cellStyle name="_우_광주평동품의1_무안-광주2공구(협력)수정_구기동(제출)(95.0)(031121)" xfId="2233" xr:uid="{00000000-0005-0000-0000-0000A9080000}"/>
    <cellStyle name="_우_광주평동품의1_무안-광주2공구(협력)수정_구기동레포츠센타제출" xfId="2234" xr:uid="{00000000-0005-0000-0000-0000AA080000}"/>
    <cellStyle name="_우_광주평동품의1_무안-광주2공구(협력)수정_신천동주상복합신축공사" xfId="2235" xr:uid="{00000000-0005-0000-0000-0000AB080000}"/>
    <cellStyle name="_우_광주평동품의1_무안-광주2공구(협력)수정_용답동오피스텔가실행" xfId="2236" xr:uid="{00000000-0005-0000-0000-0000AC080000}"/>
    <cellStyle name="_우_광주평동품의1_번암견적의뢰(협력)" xfId="2237" xr:uid="{00000000-0005-0000-0000-0000AD080000}"/>
    <cellStyle name="_우_광주평동품의1_번암견적의뢰(협력)_구기동(제출)(95.0)(031121)" xfId="2238" xr:uid="{00000000-0005-0000-0000-0000AE080000}"/>
    <cellStyle name="_우_광주평동품의1_번암견적의뢰(협력)_구기동레포츠센타제출" xfId="2239" xr:uid="{00000000-0005-0000-0000-0000AF080000}"/>
    <cellStyle name="_우_광주평동품의1_번암견적의뢰(협력)_신천동주상복합신축공사" xfId="2240" xr:uid="{00000000-0005-0000-0000-0000B0080000}"/>
    <cellStyle name="_우_광주평동품의1_번암견적의뢰(협력)_용답동오피스텔가실행" xfId="2241" xr:uid="{00000000-0005-0000-0000-0000B1080000}"/>
    <cellStyle name="_우_광주평동품의1_신천동주상복합신축공사" xfId="2242" xr:uid="{00000000-0005-0000-0000-0000B2080000}"/>
    <cellStyle name="_우_광주평동품의1_용답동오피스텔가실행" xfId="2243" xr:uid="{00000000-0005-0000-0000-0000B3080000}"/>
    <cellStyle name="_우_광주평동품의1_적상무주IC도로(1공구)" xfId="2244" xr:uid="{00000000-0005-0000-0000-0000B4080000}"/>
    <cellStyle name="_우_광주평동품의1_적상무주IC도로(1공구)_구기동(제출)(95.0)(031121)" xfId="2245" xr:uid="{00000000-0005-0000-0000-0000B5080000}"/>
    <cellStyle name="_우_광주평동품의1_적상무주IC도로(1공구)_구기동레포츠센타제출" xfId="2246" xr:uid="{00000000-0005-0000-0000-0000B6080000}"/>
    <cellStyle name="_우_광주평동품의1_적상무주IC도로(1공구)_신천동주상복합신축공사" xfId="2247" xr:uid="{00000000-0005-0000-0000-0000B7080000}"/>
    <cellStyle name="_우_광주평동품의1_적상무주IC도로(1공구)_용답동오피스텔가실행" xfId="2248" xr:uid="{00000000-0005-0000-0000-0000B8080000}"/>
    <cellStyle name="_우_구기동(제출)(95.0)(031121)" xfId="2249" xr:uid="{00000000-0005-0000-0000-0000B9080000}"/>
    <cellStyle name="_우_구기동레포츠센타제출" xfId="2250" xr:uid="{00000000-0005-0000-0000-0000BA080000}"/>
    <cellStyle name="_우_기장하수실행1" xfId="2251" xr:uid="{00000000-0005-0000-0000-0000BB080000}"/>
    <cellStyle name="_우_기장하수실행1_구기동(제출)(95.0)(031121)" xfId="2252" xr:uid="{00000000-0005-0000-0000-0000BC080000}"/>
    <cellStyle name="_우_기장하수실행1_구기동레포츠센타제출" xfId="2253" xr:uid="{00000000-0005-0000-0000-0000BD080000}"/>
    <cellStyle name="_우_기장하수실행1_번암견적의뢰(협력)" xfId="2254" xr:uid="{00000000-0005-0000-0000-0000BE080000}"/>
    <cellStyle name="_우_기장하수실행1_번암견적의뢰(협력)_구기동(제출)(95.0)(031121)" xfId="2255" xr:uid="{00000000-0005-0000-0000-0000BF080000}"/>
    <cellStyle name="_우_기장하수실행1_번암견적의뢰(협력)_구기동레포츠센타제출" xfId="2256" xr:uid="{00000000-0005-0000-0000-0000C0080000}"/>
    <cellStyle name="_우_기장하수실행1_번암견적의뢰(협력)_신천동주상복합신축공사" xfId="2257" xr:uid="{00000000-0005-0000-0000-0000C1080000}"/>
    <cellStyle name="_우_기장하수실행1_번암견적의뢰(협력)_용답동오피스텔가실행" xfId="2258" xr:uid="{00000000-0005-0000-0000-0000C2080000}"/>
    <cellStyle name="_우_기장하수실행1_신천동주상복합신축공사" xfId="2259" xr:uid="{00000000-0005-0000-0000-0000C3080000}"/>
    <cellStyle name="_우_기장하수실행1_용답동오피스텔가실행" xfId="2260" xr:uid="{00000000-0005-0000-0000-0000C4080000}"/>
    <cellStyle name="_우_무안-광주2공구(협력)수정" xfId="2261" xr:uid="{00000000-0005-0000-0000-0000C5080000}"/>
    <cellStyle name="_우_무안-광주2공구(협력)수정_구기동(제출)(95.0)(031121)" xfId="2262" xr:uid="{00000000-0005-0000-0000-0000C6080000}"/>
    <cellStyle name="_우_무안-광주2공구(협력)수정_구기동레포츠센타제출" xfId="2263" xr:uid="{00000000-0005-0000-0000-0000C7080000}"/>
    <cellStyle name="_우_무안-광주2공구(협력)수정_신천동주상복합신축공사" xfId="2264" xr:uid="{00000000-0005-0000-0000-0000C8080000}"/>
    <cellStyle name="_우_무안-광주2공구(협력)수정_용답동오피스텔가실행" xfId="2265" xr:uid="{00000000-0005-0000-0000-0000C9080000}"/>
    <cellStyle name="_우_번암견적의뢰(협력)" xfId="2266" xr:uid="{00000000-0005-0000-0000-0000CA080000}"/>
    <cellStyle name="_우_번암견적의뢰(협력)_구기동(제출)(95.0)(031121)" xfId="2267" xr:uid="{00000000-0005-0000-0000-0000CB080000}"/>
    <cellStyle name="_우_번암견적의뢰(협력)_구기동레포츠센타제출" xfId="2268" xr:uid="{00000000-0005-0000-0000-0000CC080000}"/>
    <cellStyle name="_우_번암견적의뢰(협력)_신천동주상복합신축공사" xfId="2269" xr:uid="{00000000-0005-0000-0000-0000CD080000}"/>
    <cellStyle name="_우_번암견적의뢰(협력)_용답동오피스텔가실행" xfId="2270" xr:uid="{00000000-0005-0000-0000-0000CE080000}"/>
    <cellStyle name="_우_송학실행안" xfId="2271" xr:uid="{00000000-0005-0000-0000-0000CF080000}"/>
    <cellStyle name="_우_송학실행안_구기동(제출)(95.0)(031121)" xfId="2272" xr:uid="{00000000-0005-0000-0000-0000D0080000}"/>
    <cellStyle name="_우_송학실행안_구기동레포츠센타제출" xfId="2273" xr:uid="{00000000-0005-0000-0000-0000D1080000}"/>
    <cellStyle name="_우_송학실행안_번암견적의뢰(협력)" xfId="2274" xr:uid="{00000000-0005-0000-0000-0000D2080000}"/>
    <cellStyle name="_우_송학실행안_번암견적의뢰(협력)_구기동(제출)(95.0)(031121)" xfId="2275" xr:uid="{00000000-0005-0000-0000-0000D3080000}"/>
    <cellStyle name="_우_송학실행안_번암견적의뢰(협력)_구기동레포츠센타제출" xfId="2276" xr:uid="{00000000-0005-0000-0000-0000D4080000}"/>
    <cellStyle name="_우_송학실행안_번암견적의뢰(협력)_신천동주상복합신축공사" xfId="2277" xr:uid="{00000000-0005-0000-0000-0000D5080000}"/>
    <cellStyle name="_우_송학실행안_번암견적의뢰(협력)_용답동오피스텔가실행" xfId="2278" xr:uid="{00000000-0005-0000-0000-0000D6080000}"/>
    <cellStyle name="_우_송학실행안_신천동주상복합신축공사" xfId="2279" xr:uid="{00000000-0005-0000-0000-0000D7080000}"/>
    <cellStyle name="_우_송학실행안_용답동오피스텔가실행" xfId="2280" xr:uid="{00000000-0005-0000-0000-0000D8080000}"/>
    <cellStyle name="_우_송학하수투찰" xfId="2281" xr:uid="{00000000-0005-0000-0000-0000D9080000}"/>
    <cellStyle name="_우_송학하수투찰_구기동(제출)(95.0)(031121)" xfId="2282" xr:uid="{00000000-0005-0000-0000-0000DA080000}"/>
    <cellStyle name="_우_송학하수투찰_구기동레포츠센타제출" xfId="2283" xr:uid="{00000000-0005-0000-0000-0000DB080000}"/>
    <cellStyle name="_우_송학하수투찰_번암견적의뢰(협력)" xfId="2284" xr:uid="{00000000-0005-0000-0000-0000DC080000}"/>
    <cellStyle name="_우_송학하수투찰_번암견적의뢰(협력)_구기동(제출)(95.0)(031121)" xfId="2285" xr:uid="{00000000-0005-0000-0000-0000DD080000}"/>
    <cellStyle name="_우_송학하수투찰_번암견적의뢰(협력)_구기동레포츠센타제출" xfId="2286" xr:uid="{00000000-0005-0000-0000-0000DE080000}"/>
    <cellStyle name="_우_송학하수투찰_번암견적의뢰(협력)_신천동주상복합신축공사" xfId="2287" xr:uid="{00000000-0005-0000-0000-0000DF080000}"/>
    <cellStyle name="_우_송학하수투찰_번암견적의뢰(협력)_용답동오피스텔가실행" xfId="2288" xr:uid="{00000000-0005-0000-0000-0000E0080000}"/>
    <cellStyle name="_우_송학하수투찰_신천동주상복합신축공사" xfId="2289" xr:uid="{00000000-0005-0000-0000-0000E1080000}"/>
    <cellStyle name="_우_송학하수투찰_용답동오피스텔가실행" xfId="2290" xr:uid="{00000000-0005-0000-0000-0000E2080000}"/>
    <cellStyle name="_우_송학하수품의(설계넣고)" xfId="2291" xr:uid="{00000000-0005-0000-0000-0000E3080000}"/>
    <cellStyle name="_우_송학하수품의(설계넣고)_구기동(제출)(95.0)(031121)" xfId="2292" xr:uid="{00000000-0005-0000-0000-0000E4080000}"/>
    <cellStyle name="_우_송학하수품의(설계넣고)_구기동레포츠센타제출" xfId="2293" xr:uid="{00000000-0005-0000-0000-0000E5080000}"/>
    <cellStyle name="_우_송학하수품의(설계넣고)_무안-광주2공구(협력)수정" xfId="2294" xr:uid="{00000000-0005-0000-0000-0000E6080000}"/>
    <cellStyle name="_우_송학하수품의(설계넣고)_무안-광주2공구(협력)수정_구기동(제출)(95.0)(031121)" xfId="2295" xr:uid="{00000000-0005-0000-0000-0000E7080000}"/>
    <cellStyle name="_우_송학하수품의(설계넣고)_무안-광주2공구(협력)수정_구기동레포츠센타제출" xfId="2296" xr:uid="{00000000-0005-0000-0000-0000E8080000}"/>
    <cellStyle name="_우_송학하수품의(설계넣고)_무안-광주2공구(협력)수정_신천동주상복합신축공사" xfId="2297" xr:uid="{00000000-0005-0000-0000-0000E9080000}"/>
    <cellStyle name="_우_송학하수품의(설계넣고)_무안-광주2공구(협력)수정_용답동오피스텔가실행" xfId="2298" xr:uid="{00000000-0005-0000-0000-0000EA080000}"/>
    <cellStyle name="_우_송학하수품의(설계넣고)_번암견적의뢰(협력)" xfId="2299" xr:uid="{00000000-0005-0000-0000-0000EB080000}"/>
    <cellStyle name="_우_송학하수품의(설계넣고)_번암견적의뢰(협력)_구기동(제출)(95.0)(031121)" xfId="2300" xr:uid="{00000000-0005-0000-0000-0000EC080000}"/>
    <cellStyle name="_우_송학하수품의(설계넣고)_번암견적의뢰(협력)_구기동레포츠센타제출" xfId="2301" xr:uid="{00000000-0005-0000-0000-0000ED080000}"/>
    <cellStyle name="_우_송학하수품의(설계넣고)_번암견적의뢰(협력)_신천동주상복합신축공사" xfId="2302" xr:uid="{00000000-0005-0000-0000-0000EE080000}"/>
    <cellStyle name="_우_송학하수품의(설계넣고)_번암견적의뢰(협력)_용답동오피스텔가실행" xfId="2303" xr:uid="{00000000-0005-0000-0000-0000EF080000}"/>
    <cellStyle name="_우_송학하수품의(설계넣고)_신천동주상복합신축공사" xfId="2304" xr:uid="{00000000-0005-0000-0000-0000F0080000}"/>
    <cellStyle name="_우_송학하수품의(설계넣고)_용답동오피스텔가실행" xfId="2305" xr:uid="{00000000-0005-0000-0000-0000F1080000}"/>
    <cellStyle name="_우_송학하수품의(설계넣고)_적상무주IC도로(1공구)" xfId="2306" xr:uid="{00000000-0005-0000-0000-0000F2080000}"/>
    <cellStyle name="_우_송학하수품의(설계넣고)_적상무주IC도로(1공구)_구기동(제출)(95.0)(031121)" xfId="2307" xr:uid="{00000000-0005-0000-0000-0000F3080000}"/>
    <cellStyle name="_우_송학하수품의(설계넣고)_적상무주IC도로(1공구)_구기동레포츠센타제출" xfId="2308" xr:uid="{00000000-0005-0000-0000-0000F4080000}"/>
    <cellStyle name="_우_송학하수품의(설계넣고)_적상무주IC도로(1공구)_신천동주상복합신축공사" xfId="2309" xr:uid="{00000000-0005-0000-0000-0000F5080000}"/>
    <cellStyle name="_우_송학하수품의(설계넣고)_적상무주IC도로(1공구)_용답동오피스텔가실행" xfId="2310" xr:uid="{00000000-0005-0000-0000-0000F6080000}"/>
    <cellStyle name="_우_신천동주상복합신축공사" xfId="2311" xr:uid="{00000000-0005-0000-0000-0000F7080000}"/>
    <cellStyle name="_우_용답동오피스텔가실행" xfId="2312" xr:uid="{00000000-0005-0000-0000-0000F8080000}"/>
    <cellStyle name="_우_우주센터투찰" xfId="2313" xr:uid="{00000000-0005-0000-0000-0000F9080000}"/>
    <cellStyle name="_우_우주센터투찰_광주평동실행" xfId="2314" xr:uid="{00000000-0005-0000-0000-0000FA080000}"/>
    <cellStyle name="_우_우주센터투찰_광주평동실행_구기동(제출)(95.0)(031121)" xfId="2315" xr:uid="{00000000-0005-0000-0000-0000FB080000}"/>
    <cellStyle name="_우_우주센터투찰_광주평동실행_구기동레포츠센타제출" xfId="2316" xr:uid="{00000000-0005-0000-0000-0000FC080000}"/>
    <cellStyle name="_우_우주센터투찰_광주평동실행_번암견적의뢰(협력)" xfId="2317" xr:uid="{00000000-0005-0000-0000-0000FD080000}"/>
    <cellStyle name="_우_우주센터투찰_광주평동실행_번암견적의뢰(협력)_구기동(제출)(95.0)(031121)" xfId="2318" xr:uid="{00000000-0005-0000-0000-0000FE080000}"/>
    <cellStyle name="_우_우주센터투찰_광주평동실행_번암견적의뢰(협력)_구기동레포츠센타제출" xfId="2319" xr:uid="{00000000-0005-0000-0000-0000FF080000}"/>
    <cellStyle name="_우_우주센터투찰_광주평동실행_번암견적의뢰(협력)_신천동주상복합신축공사" xfId="2320" xr:uid="{00000000-0005-0000-0000-000000090000}"/>
    <cellStyle name="_우_우주센터투찰_광주평동실행_번암견적의뢰(협력)_용답동오피스텔가실행" xfId="2321" xr:uid="{00000000-0005-0000-0000-000001090000}"/>
    <cellStyle name="_우_우주센터투찰_광주평동실행_신천동주상복합신축공사" xfId="2322" xr:uid="{00000000-0005-0000-0000-000002090000}"/>
    <cellStyle name="_우_우주센터투찰_광주평동실행_용답동오피스텔가실행" xfId="2323" xr:uid="{00000000-0005-0000-0000-000003090000}"/>
    <cellStyle name="_우_우주센터투찰_광주평동품의1" xfId="2324" xr:uid="{00000000-0005-0000-0000-000004090000}"/>
    <cellStyle name="_우_우주센터투찰_광주평동품의1_구기동(제출)(95.0)(031121)" xfId="2325" xr:uid="{00000000-0005-0000-0000-000005090000}"/>
    <cellStyle name="_우_우주센터투찰_광주평동품의1_구기동레포츠센타제출" xfId="2326" xr:uid="{00000000-0005-0000-0000-000006090000}"/>
    <cellStyle name="_우_우주센터투찰_광주평동품의1_무안-광주2공구(협력)수정" xfId="2327" xr:uid="{00000000-0005-0000-0000-000007090000}"/>
    <cellStyle name="_우_우주센터투찰_광주평동품의1_무안-광주2공구(협력)수정_구기동(제출)(95.0)(031121)" xfId="2328" xr:uid="{00000000-0005-0000-0000-000008090000}"/>
    <cellStyle name="_우_우주센터투찰_광주평동품의1_무안-광주2공구(협력)수정_구기동레포츠센타제출" xfId="2329" xr:uid="{00000000-0005-0000-0000-000009090000}"/>
    <cellStyle name="_우_우주센터투찰_광주평동품의1_무안-광주2공구(협력)수정_신천동주상복합신축공사" xfId="2330" xr:uid="{00000000-0005-0000-0000-00000A090000}"/>
    <cellStyle name="_우_우주센터투찰_광주평동품의1_무안-광주2공구(협력)수정_용답동오피스텔가실행" xfId="2331" xr:uid="{00000000-0005-0000-0000-00000B090000}"/>
    <cellStyle name="_우_우주센터투찰_광주평동품의1_번암견적의뢰(협력)" xfId="2332" xr:uid="{00000000-0005-0000-0000-00000C090000}"/>
    <cellStyle name="_우_우주센터투찰_광주평동품의1_번암견적의뢰(협력)_구기동(제출)(95.0)(031121)" xfId="2333" xr:uid="{00000000-0005-0000-0000-00000D090000}"/>
    <cellStyle name="_우_우주센터투찰_광주평동품의1_번암견적의뢰(협력)_구기동레포츠센타제출" xfId="2334" xr:uid="{00000000-0005-0000-0000-00000E090000}"/>
    <cellStyle name="_우_우주센터투찰_광주평동품의1_번암견적의뢰(협력)_신천동주상복합신축공사" xfId="2335" xr:uid="{00000000-0005-0000-0000-00000F090000}"/>
    <cellStyle name="_우_우주센터투찰_광주평동품의1_번암견적의뢰(협력)_용답동오피스텔가실행" xfId="2336" xr:uid="{00000000-0005-0000-0000-000010090000}"/>
    <cellStyle name="_우_우주센터투찰_광주평동품의1_신천동주상복합신축공사" xfId="2337" xr:uid="{00000000-0005-0000-0000-000011090000}"/>
    <cellStyle name="_우_우주센터투찰_광주평동품의1_용답동오피스텔가실행" xfId="2338" xr:uid="{00000000-0005-0000-0000-000012090000}"/>
    <cellStyle name="_우_우주센터투찰_광주평동품의1_적상무주IC도로(1공구)" xfId="2339" xr:uid="{00000000-0005-0000-0000-000013090000}"/>
    <cellStyle name="_우_우주센터투찰_광주평동품의1_적상무주IC도로(1공구)_구기동(제출)(95.0)(031121)" xfId="2340" xr:uid="{00000000-0005-0000-0000-000014090000}"/>
    <cellStyle name="_우_우주센터투찰_광주평동품의1_적상무주IC도로(1공구)_구기동레포츠센타제출" xfId="2341" xr:uid="{00000000-0005-0000-0000-000015090000}"/>
    <cellStyle name="_우_우주센터투찰_광주평동품의1_적상무주IC도로(1공구)_신천동주상복합신축공사" xfId="2342" xr:uid="{00000000-0005-0000-0000-000016090000}"/>
    <cellStyle name="_우_우주센터투찰_광주평동품의1_적상무주IC도로(1공구)_용답동오피스텔가실행" xfId="2343" xr:uid="{00000000-0005-0000-0000-000017090000}"/>
    <cellStyle name="_우_우주센터투찰_구기동(제출)(95.0)(031121)" xfId="2344" xr:uid="{00000000-0005-0000-0000-000018090000}"/>
    <cellStyle name="_우_우주센터투찰_구기동레포츠센타제출" xfId="2345" xr:uid="{00000000-0005-0000-0000-000019090000}"/>
    <cellStyle name="_우_우주센터투찰_기장하수실행1" xfId="2346" xr:uid="{00000000-0005-0000-0000-00001A090000}"/>
    <cellStyle name="_우_우주센터투찰_기장하수실행1_구기동(제출)(95.0)(031121)" xfId="2347" xr:uid="{00000000-0005-0000-0000-00001B090000}"/>
    <cellStyle name="_우_우주센터투찰_기장하수실행1_구기동레포츠센타제출" xfId="2348" xr:uid="{00000000-0005-0000-0000-00001C090000}"/>
    <cellStyle name="_우_우주센터투찰_기장하수실행1_번암견적의뢰(협력)" xfId="2349" xr:uid="{00000000-0005-0000-0000-00001D090000}"/>
    <cellStyle name="_우_우주센터투찰_기장하수실행1_번암견적의뢰(협력)_구기동(제출)(95.0)(031121)" xfId="2350" xr:uid="{00000000-0005-0000-0000-00001E090000}"/>
    <cellStyle name="_우_우주센터투찰_기장하수실행1_번암견적의뢰(협력)_구기동레포츠센타제출" xfId="2351" xr:uid="{00000000-0005-0000-0000-00001F090000}"/>
    <cellStyle name="_우_우주센터투찰_기장하수실행1_번암견적의뢰(협력)_신천동주상복합신축공사" xfId="2352" xr:uid="{00000000-0005-0000-0000-000020090000}"/>
    <cellStyle name="_우_우주센터투찰_기장하수실행1_번암견적의뢰(협력)_용답동오피스텔가실행" xfId="2353" xr:uid="{00000000-0005-0000-0000-000021090000}"/>
    <cellStyle name="_우_우주센터투찰_기장하수실행1_신천동주상복합신축공사" xfId="2354" xr:uid="{00000000-0005-0000-0000-000022090000}"/>
    <cellStyle name="_우_우주센터투찰_기장하수실행1_용답동오피스텔가실행" xfId="2355" xr:uid="{00000000-0005-0000-0000-000023090000}"/>
    <cellStyle name="_우_우주센터투찰_무안-광주2공구(협력)수정" xfId="2356" xr:uid="{00000000-0005-0000-0000-000024090000}"/>
    <cellStyle name="_우_우주센터투찰_무안-광주2공구(협력)수정_구기동(제출)(95.0)(031121)" xfId="2357" xr:uid="{00000000-0005-0000-0000-000025090000}"/>
    <cellStyle name="_우_우주센터투찰_무안-광주2공구(협력)수정_구기동레포츠센타제출" xfId="2358" xr:uid="{00000000-0005-0000-0000-000026090000}"/>
    <cellStyle name="_우_우주센터투찰_무안-광주2공구(협력)수정_신천동주상복합신축공사" xfId="2359" xr:uid="{00000000-0005-0000-0000-000027090000}"/>
    <cellStyle name="_우_우주센터투찰_무안-광주2공구(협력)수정_용답동오피스텔가실행" xfId="2360" xr:uid="{00000000-0005-0000-0000-000028090000}"/>
    <cellStyle name="_우_우주센터투찰_번암견적의뢰(협력)" xfId="2361" xr:uid="{00000000-0005-0000-0000-000029090000}"/>
    <cellStyle name="_우_우주센터투찰_번암견적의뢰(협력)_구기동(제출)(95.0)(031121)" xfId="2362" xr:uid="{00000000-0005-0000-0000-00002A090000}"/>
    <cellStyle name="_우_우주센터투찰_번암견적의뢰(협력)_구기동레포츠센타제출" xfId="2363" xr:uid="{00000000-0005-0000-0000-00002B090000}"/>
    <cellStyle name="_우_우주센터투찰_번암견적의뢰(협력)_신천동주상복합신축공사" xfId="2364" xr:uid="{00000000-0005-0000-0000-00002C090000}"/>
    <cellStyle name="_우_우주센터투찰_번암견적의뢰(협력)_용답동오피스텔가실행" xfId="2365" xr:uid="{00000000-0005-0000-0000-00002D090000}"/>
    <cellStyle name="_우_우주센터투찰_송학실행안" xfId="2366" xr:uid="{00000000-0005-0000-0000-00002E090000}"/>
    <cellStyle name="_우_우주센터투찰_송학실행안_구기동(제출)(95.0)(031121)" xfId="2367" xr:uid="{00000000-0005-0000-0000-00002F090000}"/>
    <cellStyle name="_우_우주센터투찰_송학실행안_구기동레포츠센타제출" xfId="2368" xr:uid="{00000000-0005-0000-0000-000030090000}"/>
    <cellStyle name="_우_우주센터투찰_송학실행안_번암견적의뢰(협력)" xfId="2369" xr:uid="{00000000-0005-0000-0000-000031090000}"/>
    <cellStyle name="_우_우주센터투찰_송학실행안_번암견적의뢰(협력)_구기동(제출)(95.0)(031121)" xfId="2370" xr:uid="{00000000-0005-0000-0000-000032090000}"/>
    <cellStyle name="_우_우주센터투찰_송학실행안_번암견적의뢰(협력)_구기동레포츠센타제출" xfId="2371" xr:uid="{00000000-0005-0000-0000-000033090000}"/>
    <cellStyle name="_우_우주센터투찰_송학실행안_번암견적의뢰(협력)_신천동주상복합신축공사" xfId="2372" xr:uid="{00000000-0005-0000-0000-000034090000}"/>
    <cellStyle name="_우_우주센터투찰_송학실행안_번암견적의뢰(협력)_용답동오피스텔가실행" xfId="2373" xr:uid="{00000000-0005-0000-0000-000035090000}"/>
    <cellStyle name="_우_우주센터투찰_송학실행안_신천동주상복합신축공사" xfId="2374" xr:uid="{00000000-0005-0000-0000-000036090000}"/>
    <cellStyle name="_우_우주센터투찰_송학실행안_용답동오피스텔가실행" xfId="2375" xr:uid="{00000000-0005-0000-0000-000037090000}"/>
    <cellStyle name="_우_우주센터투찰_송학하수투찰" xfId="2376" xr:uid="{00000000-0005-0000-0000-000038090000}"/>
    <cellStyle name="_우_우주센터투찰_송학하수투찰_구기동(제출)(95.0)(031121)" xfId="2377" xr:uid="{00000000-0005-0000-0000-000039090000}"/>
    <cellStyle name="_우_우주센터투찰_송학하수투찰_구기동레포츠센타제출" xfId="2378" xr:uid="{00000000-0005-0000-0000-00003A090000}"/>
    <cellStyle name="_우_우주센터투찰_송학하수투찰_번암견적의뢰(협력)" xfId="2379" xr:uid="{00000000-0005-0000-0000-00003B090000}"/>
    <cellStyle name="_우_우주센터투찰_송학하수투찰_번암견적의뢰(협력)_구기동(제출)(95.0)(031121)" xfId="2380" xr:uid="{00000000-0005-0000-0000-00003C090000}"/>
    <cellStyle name="_우_우주센터투찰_송학하수투찰_번암견적의뢰(협력)_구기동레포츠센타제출" xfId="2381" xr:uid="{00000000-0005-0000-0000-00003D090000}"/>
    <cellStyle name="_우_우주센터투찰_송학하수투찰_번암견적의뢰(협력)_신천동주상복합신축공사" xfId="2382" xr:uid="{00000000-0005-0000-0000-00003E090000}"/>
    <cellStyle name="_우_우주센터투찰_송학하수투찰_번암견적의뢰(협력)_용답동오피스텔가실행" xfId="2383" xr:uid="{00000000-0005-0000-0000-00003F090000}"/>
    <cellStyle name="_우_우주센터투찰_송학하수투찰_신천동주상복합신축공사" xfId="2384" xr:uid="{00000000-0005-0000-0000-000040090000}"/>
    <cellStyle name="_우_우주센터투찰_송학하수투찰_용답동오피스텔가실행" xfId="2385" xr:uid="{00000000-0005-0000-0000-000041090000}"/>
    <cellStyle name="_우_우주센터투찰_송학하수품의(설계넣고)" xfId="2386" xr:uid="{00000000-0005-0000-0000-000042090000}"/>
    <cellStyle name="_우_우주센터투찰_송학하수품의(설계넣고)_구기동(제출)(95.0)(031121)" xfId="2387" xr:uid="{00000000-0005-0000-0000-000043090000}"/>
    <cellStyle name="_우_우주센터투찰_송학하수품의(설계넣고)_구기동레포츠센타제출" xfId="2388" xr:uid="{00000000-0005-0000-0000-000044090000}"/>
    <cellStyle name="_우_우주센터투찰_송학하수품의(설계넣고)_무안-광주2공구(협력)수정" xfId="2389" xr:uid="{00000000-0005-0000-0000-000045090000}"/>
    <cellStyle name="_우_우주센터투찰_송학하수품의(설계넣고)_무안-광주2공구(협력)수정_구기동(제출)(95.0)(031121)" xfId="2390" xr:uid="{00000000-0005-0000-0000-000046090000}"/>
    <cellStyle name="_우_우주센터투찰_송학하수품의(설계넣고)_무안-광주2공구(협력)수정_구기동레포츠센타제출" xfId="2391" xr:uid="{00000000-0005-0000-0000-000047090000}"/>
    <cellStyle name="_우_우주센터투찰_송학하수품의(설계넣고)_무안-광주2공구(협력)수정_신천동주상복합신축공사" xfId="2392" xr:uid="{00000000-0005-0000-0000-000048090000}"/>
    <cellStyle name="_우_우주센터투찰_송학하수품의(설계넣고)_무안-광주2공구(협력)수정_용답동오피스텔가실행" xfId="2393" xr:uid="{00000000-0005-0000-0000-000049090000}"/>
    <cellStyle name="_우_우주센터투찰_송학하수품의(설계넣고)_번암견적의뢰(협력)" xfId="2394" xr:uid="{00000000-0005-0000-0000-00004A090000}"/>
    <cellStyle name="_우_우주센터투찰_송학하수품의(설계넣고)_번암견적의뢰(협력)_구기동(제출)(95.0)(031121)" xfId="2395" xr:uid="{00000000-0005-0000-0000-00004B090000}"/>
    <cellStyle name="_우_우주센터투찰_송학하수품의(설계넣고)_번암견적의뢰(협력)_구기동레포츠센타제출" xfId="2396" xr:uid="{00000000-0005-0000-0000-00004C090000}"/>
    <cellStyle name="_우_우주센터투찰_송학하수품의(설계넣고)_번암견적의뢰(협력)_신천동주상복합신축공사" xfId="2397" xr:uid="{00000000-0005-0000-0000-00004D090000}"/>
    <cellStyle name="_우_우주센터투찰_송학하수품의(설계넣고)_번암견적의뢰(협력)_용답동오피스텔가실행" xfId="2398" xr:uid="{00000000-0005-0000-0000-00004E090000}"/>
    <cellStyle name="_우_우주센터투찰_송학하수품의(설계넣고)_신천동주상복합신축공사" xfId="2399" xr:uid="{00000000-0005-0000-0000-00004F090000}"/>
    <cellStyle name="_우_우주센터투찰_송학하수품의(설계넣고)_용답동오피스텔가실행" xfId="2400" xr:uid="{00000000-0005-0000-0000-000050090000}"/>
    <cellStyle name="_우_우주센터투찰_송학하수품의(설계넣고)_적상무주IC도로(1공구)" xfId="2401" xr:uid="{00000000-0005-0000-0000-000051090000}"/>
    <cellStyle name="_우_우주센터투찰_송학하수품의(설계넣고)_적상무주IC도로(1공구)_구기동(제출)(95.0)(031121)" xfId="2402" xr:uid="{00000000-0005-0000-0000-000052090000}"/>
    <cellStyle name="_우_우주센터투찰_송학하수품의(설계넣고)_적상무주IC도로(1공구)_구기동레포츠센타제출" xfId="2403" xr:uid="{00000000-0005-0000-0000-000053090000}"/>
    <cellStyle name="_우_우주센터투찰_송학하수품의(설계넣고)_적상무주IC도로(1공구)_신천동주상복합신축공사" xfId="2404" xr:uid="{00000000-0005-0000-0000-000054090000}"/>
    <cellStyle name="_우_우주센터투찰_송학하수품의(설계넣고)_적상무주IC도로(1공구)_용답동오피스텔가실행" xfId="2405" xr:uid="{00000000-0005-0000-0000-000055090000}"/>
    <cellStyle name="_우_우주센터투찰_신천동주상복합신축공사" xfId="2406" xr:uid="{00000000-0005-0000-0000-000056090000}"/>
    <cellStyle name="_우_우주센터투찰_용답동오피스텔가실행" xfId="2407" xr:uid="{00000000-0005-0000-0000-000057090000}"/>
    <cellStyle name="_우_우주센터투찰_적상무주IC도로(1공구)" xfId="2408" xr:uid="{00000000-0005-0000-0000-000058090000}"/>
    <cellStyle name="_우_우주센터투찰_적상무주IC도로(1공구)_구기동(제출)(95.0)(031121)" xfId="2409" xr:uid="{00000000-0005-0000-0000-000059090000}"/>
    <cellStyle name="_우_우주센터투찰_적상무주IC도로(1공구)_구기동레포츠센타제출" xfId="2410" xr:uid="{00000000-0005-0000-0000-00005A090000}"/>
    <cellStyle name="_우_우주센터투찰_적상무주IC도로(1공구)_신천동주상복합신축공사" xfId="2411" xr:uid="{00000000-0005-0000-0000-00005B090000}"/>
    <cellStyle name="_우_우주센터투찰_적상무주IC도로(1공구)_용답동오피스텔가실행" xfId="2412" xr:uid="{00000000-0005-0000-0000-00005C090000}"/>
    <cellStyle name="_우_적상무주IC도로(1공구)" xfId="2413" xr:uid="{00000000-0005-0000-0000-00005D090000}"/>
    <cellStyle name="_우_적상무주IC도로(1공구)_구기동(제출)(95.0)(031121)" xfId="2414" xr:uid="{00000000-0005-0000-0000-00005E090000}"/>
    <cellStyle name="_우_적상무주IC도로(1공구)_구기동레포츠센타제출" xfId="2415" xr:uid="{00000000-0005-0000-0000-00005F090000}"/>
    <cellStyle name="_우_적상무주IC도로(1공구)_신천동주상복합신축공사" xfId="2416" xr:uid="{00000000-0005-0000-0000-000060090000}"/>
    <cellStyle name="_우_적상무주IC도로(1공구)_용답동오피스텔가실행" xfId="2417" xr:uid="{00000000-0005-0000-0000-000061090000}"/>
    <cellStyle name="_우노꼬레리모델링" xfId="2418" xr:uid="{00000000-0005-0000-0000-000062090000}"/>
    <cellStyle name="_우주센" xfId="2419" xr:uid="{00000000-0005-0000-0000-000063090000}"/>
    <cellStyle name="_우주센_광주평동실행" xfId="2420" xr:uid="{00000000-0005-0000-0000-000064090000}"/>
    <cellStyle name="_우주센_광주평동실행_구기동(제출)(95.0)(031121)" xfId="2421" xr:uid="{00000000-0005-0000-0000-000065090000}"/>
    <cellStyle name="_우주센_광주평동실행_구기동레포츠센타제출" xfId="2422" xr:uid="{00000000-0005-0000-0000-000066090000}"/>
    <cellStyle name="_우주센_광주평동실행_번암견적의뢰(협력)" xfId="2423" xr:uid="{00000000-0005-0000-0000-000067090000}"/>
    <cellStyle name="_우주센_광주평동실행_번암견적의뢰(협력)_구기동(제출)(95.0)(031121)" xfId="2424" xr:uid="{00000000-0005-0000-0000-000068090000}"/>
    <cellStyle name="_우주센_광주평동실행_번암견적의뢰(협력)_구기동레포츠센타제출" xfId="2425" xr:uid="{00000000-0005-0000-0000-000069090000}"/>
    <cellStyle name="_우주센_광주평동실행_번암견적의뢰(협력)_신천동주상복합신축공사" xfId="2426" xr:uid="{00000000-0005-0000-0000-00006A090000}"/>
    <cellStyle name="_우주센_광주평동실행_번암견적의뢰(협력)_용답동오피스텔가실행" xfId="2427" xr:uid="{00000000-0005-0000-0000-00006B090000}"/>
    <cellStyle name="_우주센_광주평동실행_신천동주상복합신축공사" xfId="2428" xr:uid="{00000000-0005-0000-0000-00006C090000}"/>
    <cellStyle name="_우주센_광주평동실행_용답동오피스텔가실행" xfId="2429" xr:uid="{00000000-0005-0000-0000-00006D090000}"/>
    <cellStyle name="_우주센_광주평동품의1" xfId="2430" xr:uid="{00000000-0005-0000-0000-00006E090000}"/>
    <cellStyle name="_우주센_광주평동품의1_구기동(제출)(95.0)(031121)" xfId="2431" xr:uid="{00000000-0005-0000-0000-00006F090000}"/>
    <cellStyle name="_우주센_광주평동품의1_구기동레포츠센타제출" xfId="2432" xr:uid="{00000000-0005-0000-0000-000070090000}"/>
    <cellStyle name="_우주센_광주평동품의1_무안-광주2공구(협력)수정" xfId="2433" xr:uid="{00000000-0005-0000-0000-000071090000}"/>
    <cellStyle name="_우주센_광주평동품의1_무안-광주2공구(협력)수정_구기동(제출)(95.0)(031121)" xfId="2434" xr:uid="{00000000-0005-0000-0000-000072090000}"/>
    <cellStyle name="_우주센_광주평동품의1_무안-광주2공구(협력)수정_구기동레포츠센타제출" xfId="2435" xr:uid="{00000000-0005-0000-0000-000073090000}"/>
    <cellStyle name="_우주센_광주평동품의1_무안-광주2공구(협력)수정_신천동주상복합신축공사" xfId="2436" xr:uid="{00000000-0005-0000-0000-000074090000}"/>
    <cellStyle name="_우주센_광주평동품의1_무안-광주2공구(협력)수정_용답동오피스텔가실행" xfId="2437" xr:uid="{00000000-0005-0000-0000-000075090000}"/>
    <cellStyle name="_우주센_광주평동품의1_번암견적의뢰(협력)" xfId="2438" xr:uid="{00000000-0005-0000-0000-000076090000}"/>
    <cellStyle name="_우주센_광주평동품의1_번암견적의뢰(협력)_구기동(제출)(95.0)(031121)" xfId="2439" xr:uid="{00000000-0005-0000-0000-000077090000}"/>
    <cellStyle name="_우주센_광주평동품의1_번암견적의뢰(협력)_구기동레포츠센타제출" xfId="2440" xr:uid="{00000000-0005-0000-0000-000078090000}"/>
    <cellStyle name="_우주센_광주평동품의1_번암견적의뢰(협력)_신천동주상복합신축공사" xfId="2441" xr:uid="{00000000-0005-0000-0000-000079090000}"/>
    <cellStyle name="_우주센_광주평동품의1_번암견적의뢰(협력)_용답동오피스텔가실행" xfId="2442" xr:uid="{00000000-0005-0000-0000-00007A090000}"/>
    <cellStyle name="_우주센_광주평동품의1_신천동주상복합신축공사" xfId="2443" xr:uid="{00000000-0005-0000-0000-00007B090000}"/>
    <cellStyle name="_우주센_광주평동품의1_용답동오피스텔가실행" xfId="2444" xr:uid="{00000000-0005-0000-0000-00007C090000}"/>
    <cellStyle name="_우주센_광주평동품의1_적상무주IC도로(1공구)" xfId="2445" xr:uid="{00000000-0005-0000-0000-00007D090000}"/>
    <cellStyle name="_우주센_광주평동품의1_적상무주IC도로(1공구)_구기동(제출)(95.0)(031121)" xfId="2446" xr:uid="{00000000-0005-0000-0000-00007E090000}"/>
    <cellStyle name="_우주센_광주평동품의1_적상무주IC도로(1공구)_구기동레포츠센타제출" xfId="2447" xr:uid="{00000000-0005-0000-0000-00007F090000}"/>
    <cellStyle name="_우주센_광주평동품의1_적상무주IC도로(1공구)_신천동주상복합신축공사" xfId="2448" xr:uid="{00000000-0005-0000-0000-000080090000}"/>
    <cellStyle name="_우주센_광주평동품의1_적상무주IC도로(1공구)_용답동오피스텔가실행" xfId="2449" xr:uid="{00000000-0005-0000-0000-000081090000}"/>
    <cellStyle name="_우주센_구기동(제출)(95.0)(031121)" xfId="2450" xr:uid="{00000000-0005-0000-0000-000082090000}"/>
    <cellStyle name="_우주센_구기동레포츠센타제출" xfId="2451" xr:uid="{00000000-0005-0000-0000-000083090000}"/>
    <cellStyle name="_우주센_기장하수실행1" xfId="2452" xr:uid="{00000000-0005-0000-0000-000084090000}"/>
    <cellStyle name="_우주센_기장하수실행1_구기동(제출)(95.0)(031121)" xfId="2453" xr:uid="{00000000-0005-0000-0000-000085090000}"/>
    <cellStyle name="_우주센_기장하수실행1_구기동레포츠센타제출" xfId="2454" xr:uid="{00000000-0005-0000-0000-000086090000}"/>
    <cellStyle name="_우주센_기장하수실행1_번암견적의뢰(협력)" xfId="2455" xr:uid="{00000000-0005-0000-0000-000087090000}"/>
    <cellStyle name="_우주센_기장하수실행1_번암견적의뢰(협력)_구기동(제출)(95.0)(031121)" xfId="2456" xr:uid="{00000000-0005-0000-0000-000088090000}"/>
    <cellStyle name="_우주센_기장하수실행1_번암견적의뢰(협력)_구기동레포츠센타제출" xfId="2457" xr:uid="{00000000-0005-0000-0000-000089090000}"/>
    <cellStyle name="_우주센_기장하수실행1_번암견적의뢰(협력)_신천동주상복합신축공사" xfId="2458" xr:uid="{00000000-0005-0000-0000-00008A090000}"/>
    <cellStyle name="_우주센_기장하수실행1_번암견적의뢰(협력)_용답동오피스텔가실행" xfId="2459" xr:uid="{00000000-0005-0000-0000-00008B090000}"/>
    <cellStyle name="_우주센_기장하수실행1_신천동주상복합신축공사" xfId="2460" xr:uid="{00000000-0005-0000-0000-00008C090000}"/>
    <cellStyle name="_우주센_기장하수실행1_용답동오피스텔가실행" xfId="2461" xr:uid="{00000000-0005-0000-0000-00008D090000}"/>
    <cellStyle name="_우주센_무안-광주2공구(협력)수정" xfId="2462" xr:uid="{00000000-0005-0000-0000-00008E090000}"/>
    <cellStyle name="_우주센_무안-광주2공구(협력)수정_구기동(제출)(95.0)(031121)" xfId="2463" xr:uid="{00000000-0005-0000-0000-00008F090000}"/>
    <cellStyle name="_우주센_무안-광주2공구(협력)수정_구기동레포츠센타제출" xfId="2464" xr:uid="{00000000-0005-0000-0000-000090090000}"/>
    <cellStyle name="_우주센_무안-광주2공구(협력)수정_신천동주상복합신축공사" xfId="2465" xr:uid="{00000000-0005-0000-0000-000091090000}"/>
    <cellStyle name="_우주센_무안-광주2공구(협력)수정_용답동오피스텔가실행" xfId="2466" xr:uid="{00000000-0005-0000-0000-000092090000}"/>
    <cellStyle name="_우주센_번암견적의뢰(협력)" xfId="2467" xr:uid="{00000000-0005-0000-0000-000093090000}"/>
    <cellStyle name="_우주센_번암견적의뢰(협력)_구기동(제출)(95.0)(031121)" xfId="2468" xr:uid="{00000000-0005-0000-0000-000094090000}"/>
    <cellStyle name="_우주센_번암견적의뢰(협력)_구기동레포츠센타제출" xfId="2469" xr:uid="{00000000-0005-0000-0000-000095090000}"/>
    <cellStyle name="_우주센_번암견적의뢰(협력)_신천동주상복합신축공사" xfId="2470" xr:uid="{00000000-0005-0000-0000-000096090000}"/>
    <cellStyle name="_우주센_번암견적의뢰(협력)_용답동오피스텔가실행" xfId="2471" xr:uid="{00000000-0005-0000-0000-000097090000}"/>
    <cellStyle name="_우주센_송학실행안" xfId="2472" xr:uid="{00000000-0005-0000-0000-000098090000}"/>
    <cellStyle name="_우주센_송학실행안_구기동(제출)(95.0)(031121)" xfId="2473" xr:uid="{00000000-0005-0000-0000-000099090000}"/>
    <cellStyle name="_우주센_송학실행안_구기동레포츠센타제출" xfId="2474" xr:uid="{00000000-0005-0000-0000-00009A090000}"/>
    <cellStyle name="_우주센_송학실행안_번암견적의뢰(협력)" xfId="2475" xr:uid="{00000000-0005-0000-0000-00009B090000}"/>
    <cellStyle name="_우주센_송학실행안_번암견적의뢰(협력)_구기동(제출)(95.0)(031121)" xfId="2476" xr:uid="{00000000-0005-0000-0000-00009C090000}"/>
    <cellStyle name="_우주센_송학실행안_번암견적의뢰(협력)_구기동레포츠센타제출" xfId="2477" xr:uid="{00000000-0005-0000-0000-00009D090000}"/>
    <cellStyle name="_우주센_송학실행안_번암견적의뢰(협력)_신천동주상복합신축공사" xfId="2478" xr:uid="{00000000-0005-0000-0000-00009E090000}"/>
    <cellStyle name="_우주센_송학실행안_번암견적의뢰(협력)_용답동오피스텔가실행" xfId="2479" xr:uid="{00000000-0005-0000-0000-00009F090000}"/>
    <cellStyle name="_우주센_송학실행안_신천동주상복합신축공사" xfId="2480" xr:uid="{00000000-0005-0000-0000-0000A0090000}"/>
    <cellStyle name="_우주센_송학실행안_용답동오피스텔가실행" xfId="2481" xr:uid="{00000000-0005-0000-0000-0000A1090000}"/>
    <cellStyle name="_우주센_송학하수투찰" xfId="2482" xr:uid="{00000000-0005-0000-0000-0000A2090000}"/>
    <cellStyle name="_우주센_송학하수투찰_구기동(제출)(95.0)(031121)" xfId="2483" xr:uid="{00000000-0005-0000-0000-0000A3090000}"/>
    <cellStyle name="_우주센_송학하수투찰_구기동레포츠센타제출" xfId="2484" xr:uid="{00000000-0005-0000-0000-0000A4090000}"/>
    <cellStyle name="_우주센_송학하수투찰_번암견적의뢰(협력)" xfId="2485" xr:uid="{00000000-0005-0000-0000-0000A5090000}"/>
    <cellStyle name="_우주센_송학하수투찰_번암견적의뢰(협력)_구기동(제출)(95.0)(031121)" xfId="2486" xr:uid="{00000000-0005-0000-0000-0000A6090000}"/>
    <cellStyle name="_우주센_송학하수투찰_번암견적의뢰(협력)_구기동레포츠센타제출" xfId="2487" xr:uid="{00000000-0005-0000-0000-0000A7090000}"/>
    <cellStyle name="_우주센_송학하수투찰_번암견적의뢰(협력)_신천동주상복합신축공사" xfId="2488" xr:uid="{00000000-0005-0000-0000-0000A8090000}"/>
    <cellStyle name="_우주센_송학하수투찰_번암견적의뢰(협력)_용답동오피스텔가실행" xfId="2489" xr:uid="{00000000-0005-0000-0000-0000A9090000}"/>
    <cellStyle name="_우주센_송학하수투찰_신천동주상복합신축공사" xfId="2490" xr:uid="{00000000-0005-0000-0000-0000AA090000}"/>
    <cellStyle name="_우주센_송학하수투찰_용답동오피스텔가실행" xfId="2491" xr:uid="{00000000-0005-0000-0000-0000AB090000}"/>
    <cellStyle name="_우주센_송학하수품의(설계넣고)" xfId="2492" xr:uid="{00000000-0005-0000-0000-0000AC090000}"/>
    <cellStyle name="_우주센_송학하수품의(설계넣고)_구기동(제출)(95.0)(031121)" xfId="2493" xr:uid="{00000000-0005-0000-0000-0000AD090000}"/>
    <cellStyle name="_우주센_송학하수품의(설계넣고)_구기동레포츠센타제출" xfId="2494" xr:uid="{00000000-0005-0000-0000-0000AE090000}"/>
    <cellStyle name="_우주센_송학하수품의(설계넣고)_무안-광주2공구(협력)수정" xfId="2495" xr:uid="{00000000-0005-0000-0000-0000AF090000}"/>
    <cellStyle name="_우주센_송학하수품의(설계넣고)_무안-광주2공구(협력)수정_구기동(제출)(95.0)(031121)" xfId="2496" xr:uid="{00000000-0005-0000-0000-0000B0090000}"/>
    <cellStyle name="_우주센_송학하수품의(설계넣고)_무안-광주2공구(협력)수정_구기동레포츠센타제출" xfId="2497" xr:uid="{00000000-0005-0000-0000-0000B1090000}"/>
    <cellStyle name="_우주센_송학하수품의(설계넣고)_무안-광주2공구(협력)수정_신천동주상복합신축공사" xfId="2498" xr:uid="{00000000-0005-0000-0000-0000B2090000}"/>
    <cellStyle name="_우주센_송학하수품의(설계넣고)_무안-광주2공구(협력)수정_용답동오피스텔가실행" xfId="2499" xr:uid="{00000000-0005-0000-0000-0000B3090000}"/>
    <cellStyle name="_우주센_송학하수품의(설계넣고)_번암견적의뢰(협력)" xfId="2500" xr:uid="{00000000-0005-0000-0000-0000B4090000}"/>
    <cellStyle name="_우주센_송학하수품의(설계넣고)_번암견적의뢰(협력)_구기동(제출)(95.0)(031121)" xfId="2501" xr:uid="{00000000-0005-0000-0000-0000B5090000}"/>
    <cellStyle name="_우주센_송학하수품의(설계넣고)_번암견적의뢰(협력)_구기동레포츠센타제출" xfId="2502" xr:uid="{00000000-0005-0000-0000-0000B6090000}"/>
    <cellStyle name="_우주센_송학하수품의(설계넣고)_번암견적의뢰(협력)_신천동주상복합신축공사" xfId="2503" xr:uid="{00000000-0005-0000-0000-0000B7090000}"/>
    <cellStyle name="_우주센_송학하수품의(설계넣고)_번암견적의뢰(협력)_용답동오피스텔가실행" xfId="2504" xr:uid="{00000000-0005-0000-0000-0000B8090000}"/>
    <cellStyle name="_우주센_송학하수품의(설계넣고)_신천동주상복합신축공사" xfId="2505" xr:uid="{00000000-0005-0000-0000-0000B9090000}"/>
    <cellStyle name="_우주센_송학하수품의(설계넣고)_용답동오피스텔가실행" xfId="2506" xr:uid="{00000000-0005-0000-0000-0000BA090000}"/>
    <cellStyle name="_우주센_송학하수품의(설계넣고)_적상무주IC도로(1공구)" xfId="2507" xr:uid="{00000000-0005-0000-0000-0000BB090000}"/>
    <cellStyle name="_우주센_송학하수품의(설계넣고)_적상무주IC도로(1공구)_구기동(제출)(95.0)(031121)" xfId="2508" xr:uid="{00000000-0005-0000-0000-0000BC090000}"/>
    <cellStyle name="_우주센_송학하수품의(설계넣고)_적상무주IC도로(1공구)_구기동레포츠센타제출" xfId="2509" xr:uid="{00000000-0005-0000-0000-0000BD090000}"/>
    <cellStyle name="_우주센_송학하수품의(설계넣고)_적상무주IC도로(1공구)_신천동주상복합신축공사" xfId="2510" xr:uid="{00000000-0005-0000-0000-0000BE090000}"/>
    <cellStyle name="_우주센_송학하수품의(설계넣고)_적상무주IC도로(1공구)_용답동오피스텔가실행" xfId="2511" xr:uid="{00000000-0005-0000-0000-0000BF090000}"/>
    <cellStyle name="_우주센_신천동주상복합신축공사" xfId="2512" xr:uid="{00000000-0005-0000-0000-0000C0090000}"/>
    <cellStyle name="_우주센_용답동오피스텔가실행" xfId="2513" xr:uid="{00000000-0005-0000-0000-0000C1090000}"/>
    <cellStyle name="_우주센_우주센터투찰" xfId="2514" xr:uid="{00000000-0005-0000-0000-0000C2090000}"/>
    <cellStyle name="_우주센_우주센터투찰_광주평동실행" xfId="2515" xr:uid="{00000000-0005-0000-0000-0000C3090000}"/>
    <cellStyle name="_우주센_우주센터투찰_광주평동실행_구기동(제출)(95.0)(031121)" xfId="2516" xr:uid="{00000000-0005-0000-0000-0000C4090000}"/>
    <cellStyle name="_우주센_우주센터투찰_광주평동실행_구기동레포츠센타제출" xfId="2517" xr:uid="{00000000-0005-0000-0000-0000C5090000}"/>
    <cellStyle name="_우주센_우주센터투찰_광주평동실행_번암견적의뢰(협력)" xfId="2518" xr:uid="{00000000-0005-0000-0000-0000C6090000}"/>
    <cellStyle name="_우주센_우주센터투찰_광주평동실행_번암견적의뢰(협력)_구기동(제출)(95.0)(031121)" xfId="2519" xr:uid="{00000000-0005-0000-0000-0000C7090000}"/>
    <cellStyle name="_우주센_우주센터투찰_광주평동실행_번암견적의뢰(협력)_구기동레포츠센타제출" xfId="2520" xr:uid="{00000000-0005-0000-0000-0000C8090000}"/>
    <cellStyle name="_우주센_우주센터투찰_광주평동실행_번암견적의뢰(협력)_신천동주상복합신축공사" xfId="2521" xr:uid="{00000000-0005-0000-0000-0000C9090000}"/>
    <cellStyle name="_우주센_우주센터투찰_광주평동실행_번암견적의뢰(협력)_용답동오피스텔가실행" xfId="2522" xr:uid="{00000000-0005-0000-0000-0000CA090000}"/>
    <cellStyle name="_우주센_우주센터투찰_광주평동실행_신천동주상복합신축공사" xfId="2523" xr:uid="{00000000-0005-0000-0000-0000CB090000}"/>
    <cellStyle name="_우주센_우주센터투찰_광주평동실행_용답동오피스텔가실행" xfId="2524" xr:uid="{00000000-0005-0000-0000-0000CC090000}"/>
    <cellStyle name="_우주센_우주센터투찰_광주평동품의1" xfId="2525" xr:uid="{00000000-0005-0000-0000-0000CD090000}"/>
    <cellStyle name="_우주센_우주센터투찰_광주평동품의1_구기동(제출)(95.0)(031121)" xfId="2526" xr:uid="{00000000-0005-0000-0000-0000CE090000}"/>
    <cellStyle name="_우주센_우주센터투찰_광주평동품의1_구기동레포츠센타제출" xfId="2527" xr:uid="{00000000-0005-0000-0000-0000CF090000}"/>
    <cellStyle name="_우주센_우주센터투찰_광주평동품의1_무안-광주2공구(협력)수정" xfId="2528" xr:uid="{00000000-0005-0000-0000-0000D0090000}"/>
    <cellStyle name="_우주센_우주센터투찰_광주평동품의1_무안-광주2공구(협력)수정_구기동(제출)(95.0)(031121)" xfId="2529" xr:uid="{00000000-0005-0000-0000-0000D1090000}"/>
    <cellStyle name="_우주센_우주센터투찰_광주평동품의1_무안-광주2공구(협력)수정_구기동레포츠센타제출" xfId="2530" xr:uid="{00000000-0005-0000-0000-0000D2090000}"/>
    <cellStyle name="_우주센_우주센터투찰_광주평동품의1_무안-광주2공구(협력)수정_신천동주상복합신축공사" xfId="2531" xr:uid="{00000000-0005-0000-0000-0000D3090000}"/>
    <cellStyle name="_우주센_우주센터투찰_광주평동품의1_무안-광주2공구(협력)수정_용답동오피스텔가실행" xfId="2532" xr:uid="{00000000-0005-0000-0000-0000D4090000}"/>
    <cellStyle name="_우주센_우주센터투찰_광주평동품의1_번암견적의뢰(협력)" xfId="2533" xr:uid="{00000000-0005-0000-0000-0000D5090000}"/>
    <cellStyle name="_우주센_우주센터투찰_광주평동품의1_번암견적의뢰(협력)_구기동(제출)(95.0)(031121)" xfId="2534" xr:uid="{00000000-0005-0000-0000-0000D6090000}"/>
    <cellStyle name="_우주센_우주센터투찰_광주평동품의1_번암견적의뢰(협력)_구기동레포츠센타제출" xfId="2535" xr:uid="{00000000-0005-0000-0000-0000D7090000}"/>
    <cellStyle name="_우주센_우주센터투찰_광주평동품의1_번암견적의뢰(협력)_신천동주상복합신축공사" xfId="2536" xr:uid="{00000000-0005-0000-0000-0000D8090000}"/>
    <cellStyle name="_우주센_우주센터투찰_광주평동품의1_번암견적의뢰(협력)_용답동오피스텔가실행" xfId="2537" xr:uid="{00000000-0005-0000-0000-0000D9090000}"/>
    <cellStyle name="_우주센_우주센터투찰_광주평동품의1_신천동주상복합신축공사" xfId="2538" xr:uid="{00000000-0005-0000-0000-0000DA090000}"/>
    <cellStyle name="_우주센_우주센터투찰_광주평동품의1_용답동오피스텔가실행" xfId="2539" xr:uid="{00000000-0005-0000-0000-0000DB090000}"/>
    <cellStyle name="_우주센_우주센터투찰_광주평동품의1_적상무주IC도로(1공구)" xfId="2540" xr:uid="{00000000-0005-0000-0000-0000DC090000}"/>
    <cellStyle name="_우주센_우주센터투찰_광주평동품의1_적상무주IC도로(1공구)_구기동(제출)(95.0)(031121)" xfId="2541" xr:uid="{00000000-0005-0000-0000-0000DD090000}"/>
    <cellStyle name="_우주센_우주센터투찰_광주평동품의1_적상무주IC도로(1공구)_구기동레포츠센타제출" xfId="2542" xr:uid="{00000000-0005-0000-0000-0000DE090000}"/>
    <cellStyle name="_우주센_우주센터투찰_광주평동품의1_적상무주IC도로(1공구)_신천동주상복합신축공사" xfId="2543" xr:uid="{00000000-0005-0000-0000-0000DF090000}"/>
    <cellStyle name="_우주센_우주센터투찰_광주평동품의1_적상무주IC도로(1공구)_용답동오피스텔가실행" xfId="2544" xr:uid="{00000000-0005-0000-0000-0000E0090000}"/>
    <cellStyle name="_우주센_우주센터투찰_구기동(제출)(95.0)(031121)" xfId="2545" xr:uid="{00000000-0005-0000-0000-0000E1090000}"/>
    <cellStyle name="_우주센_우주센터투찰_구기동레포츠센타제출" xfId="2546" xr:uid="{00000000-0005-0000-0000-0000E2090000}"/>
    <cellStyle name="_우주센_우주센터투찰_기장하수실행1" xfId="2547" xr:uid="{00000000-0005-0000-0000-0000E3090000}"/>
    <cellStyle name="_우주센_우주센터투찰_기장하수실행1_구기동(제출)(95.0)(031121)" xfId="2548" xr:uid="{00000000-0005-0000-0000-0000E4090000}"/>
    <cellStyle name="_우주센_우주센터투찰_기장하수실행1_구기동레포츠센타제출" xfId="2549" xr:uid="{00000000-0005-0000-0000-0000E5090000}"/>
    <cellStyle name="_우주센_우주센터투찰_기장하수실행1_번암견적의뢰(협력)" xfId="2550" xr:uid="{00000000-0005-0000-0000-0000E6090000}"/>
    <cellStyle name="_우주센_우주센터투찰_기장하수실행1_번암견적의뢰(협력)_구기동(제출)(95.0)(031121)" xfId="2551" xr:uid="{00000000-0005-0000-0000-0000E7090000}"/>
    <cellStyle name="_우주센_우주센터투찰_기장하수실행1_번암견적의뢰(협력)_구기동레포츠센타제출" xfId="2552" xr:uid="{00000000-0005-0000-0000-0000E8090000}"/>
    <cellStyle name="_우주센_우주센터투찰_기장하수실행1_번암견적의뢰(협력)_신천동주상복합신축공사" xfId="2553" xr:uid="{00000000-0005-0000-0000-0000E9090000}"/>
    <cellStyle name="_우주센_우주센터투찰_기장하수실행1_번암견적의뢰(협력)_용답동오피스텔가실행" xfId="2554" xr:uid="{00000000-0005-0000-0000-0000EA090000}"/>
    <cellStyle name="_우주센_우주센터투찰_기장하수실행1_신천동주상복합신축공사" xfId="2555" xr:uid="{00000000-0005-0000-0000-0000EB090000}"/>
    <cellStyle name="_우주센_우주센터투찰_기장하수실행1_용답동오피스텔가실행" xfId="2556" xr:uid="{00000000-0005-0000-0000-0000EC090000}"/>
    <cellStyle name="_우주센_우주센터투찰_무안-광주2공구(협력)수정" xfId="2557" xr:uid="{00000000-0005-0000-0000-0000ED090000}"/>
    <cellStyle name="_우주센_우주센터투찰_무안-광주2공구(협력)수정_구기동(제출)(95.0)(031121)" xfId="2558" xr:uid="{00000000-0005-0000-0000-0000EE090000}"/>
    <cellStyle name="_우주센_우주센터투찰_무안-광주2공구(협력)수정_구기동레포츠센타제출" xfId="2559" xr:uid="{00000000-0005-0000-0000-0000EF090000}"/>
    <cellStyle name="_우주센_우주센터투찰_무안-광주2공구(협력)수정_신천동주상복합신축공사" xfId="2560" xr:uid="{00000000-0005-0000-0000-0000F0090000}"/>
    <cellStyle name="_우주센_우주센터투찰_무안-광주2공구(협력)수정_용답동오피스텔가실행" xfId="2561" xr:uid="{00000000-0005-0000-0000-0000F1090000}"/>
    <cellStyle name="_우주센_우주센터투찰_번암견적의뢰(협력)" xfId="2562" xr:uid="{00000000-0005-0000-0000-0000F2090000}"/>
    <cellStyle name="_우주센_우주센터투찰_번암견적의뢰(협력)_구기동(제출)(95.0)(031121)" xfId="2563" xr:uid="{00000000-0005-0000-0000-0000F3090000}"/>
    <cellStyle name="_우주센_우주센터투찰_번암견적의뢰(협력)_구기동레포츠센타제출" xfId="2564" xr:uid="{00000000-0005-0000-0000-0000F4090000}"/>
    <cellStyle name="_우주센_우주센터투찰_번암견적의뢰(협력)_신천동주상복합신축공사" xfId="2565" xr:uid="{00000000-0005-0000-0000-0000F5090000}"/>
    <cellStyle name="_우주센_우주센터투찰_번암견적의뢰(협력)_용답동오피스텔가실행" xfId="2566" xr:uid="{00000000-0005-0000-0000-0000F6090000}"/>
    <cellStyle name="_우주센_우주센터투찰_송학실행안" xfId="2567" xr:uid="{00000000-0005-0000-0000-0000F7090000}"/>
    <cellStyle name="_우주센_우주센터투찰_송학실행안_구기동(제출)(95.0)(031121)" xfId="2568" xr:uid="{00000000-0005-0000-0000-0000F8090000}"/>
    <cellStyle name="_우주센_우주센터투찰_송학실행안_구기동레포츠센타제출" xfId="2569" xr:uid="{00000000-0005-0000-0000-0000F9090000}"/>
    <cellStyle name="_우주센_우주센터투찰_송학실행안_번암견적의뢰(협력)" xfId="2570" xr:uid="{00000000-0005-0000-0000-0000FA090000}"/>
    <cellStyle name="_우주센_우주센터투찰_송학실행안_번암견적의뢰(협력)_구기동(제출)(95.0)(031121)" xfId="2571" xr:uid="{00000000-0005-0000-0000-0000FB090000}"/>
    <cellStyle name="_우주센_우주센터투찰_송학실행안_번암견적의뢰(협력)_구기동레포츠센타제출" xfId="2572" xr:uid="{00000000-0005-0000-0000-0000FC090000}"/>
    <cellStyle name="_우주센_우주센터투찰_송학실행안_번암견적의뢰(협력)_신천동주상복합신축공사" xfId="2573" xr:uid="{00000000-0005-0000-0000-0000FD090000}"/>
    <cellStyle name="_우주센_우주센터투찰_송학실행안_번암견적의뢰(협력)_용답동오피스텔가실행" xfId="2574" xr:uid="{00000000-0005-0000-0000-0000FE090000}"/>
    <cellStyle name="_우주센_우주센터투찰_송학실행안_신천동주상복합신축공사" xfId="2575" xr:uid="{00000000-0005-0000-0000-0000FF090000}"/>
    <cellStyle name="_우주센_우주센터투찰_송학실행안_용답동오피스텔가실행" xfId="2576" xr:uid="{00000000-0005-0000-0000-0000000A0000}"/>
    <cellStyle name="_우주센_우주센터투찰_송학하수투찰" xfId="2577" xr:uid="{00000000-0005-0000-0000-0000010A0000}"/>
    <cellStyle name="_우주센_우주센터투찰_송학하수투찰_구기동(제출)(95.0)(031121)" xfId="2578" xr:uid="{00000000-0005-0000-0000-0000020A0000}"/>
    <cellStyle name="_우주센_우주센터투찰_송학하수투찰_구기동레포츠센타제출" xfId="2579" xr:uid="{00000000-0005-0000-0000-0000030A0000}"/>
    <cellStyle name="_우주센_우주센터투찰_송학하수투찰_번암견적의뢰(협력)" xfId="2580" xr:uid="{00000000-0005-0000-0000-0000040A0000}"/>
    <cellStyle name="_우주센_우주센터투찰_송학하수투찰_번암견적의뢰(협력)_구기동(제출)(95.0)(031121)" xfId="2581" xr:uid="{00000000-0005-0000-0000-0000050A0000}"/>
    <cellStyle name="_우주센_우주센터투찰_송학하수투찰_번암견적의뢰(협력)_구기동레포츠센타제출" xfId="2582" xr:uid="{00000000-0005-0000-0000-0000060A0000}"/>
    <cellStyle name="_우주센_우주센터투찰_송학하수투찰_번암견적의뢰(협력)_신천동주상복합신축공사" xfId="2583" xr:uid="{00000000-0005-0000-0000-0000070A0000}"/>
    <cellStyle name="_우주센_우주센터투찰_송학하수투찰_번암견적의뢰(협력)_용답동오피스텔가실행" xfId="2584" xr:uid="{00000000-0005-0000-0000-0000080A0000}"/>
    <cellStyle name="_우주센_우주센터투찰_송학하수투찰_신천동주상복합신축공사" xfId="2585" xr:uid="{00000000-0005-0000-0000-0000090A0000}"/>
    <cellStyle name="_우주센_우주센터투찰_송학하수투찰_용답동오피스텔가실행" xfId="2586" xr:uid="{00000000-0005-0000-0000-00000A0A0000}"/>
    <cellStyle name="_우주센_우주센터투찰_송학하수품의(설계넣고)" xfId="2587" xr:uid="{00000000-0005-0000-0000-00000B0A0000}"/>
    <cellStyle name="_우주센_우주센터투찰_송학하수품의(설계넣고)_구기동(제출)(95.0)(031121)" xfId="2588" xr:uid="{00000000-0005-0000-0000-00000C0A0000}"/>
    <cellStyle name="_우주센_우주센터투찰_송학하수품의(설계넣고)_구기동레포츠센타제출" xfId="2589" xr:uid="{00000000-0005-0000-0000-00000D0A0000}"/>
    <cellStyle name="_우주센_우주센터투찰_송학하수품의(설계넣고)_무안-광주2공구(협력)수정" xfId="2590" xr:uid="{00000000-0005-0000-0000-00000E0A0000}"/>
    <cellStyle name="_우주센_우주센터투찰_송학하수품의(설계넣고)_무안-광주2공구(협력)수정_구기동(제출)(95.0)(031121)" xfId="2591" xr:uid="{00000000-0005-0000-0000-00000F0A0000}"/>
    <cellStyle name="_우주센_우주센터투찰_송학하수품의(설계넣고)_무안-광주2공구(협력)수정_구기동레포츠센타제출" xfId="2592" xr:uid="{00000000-0005-0000-0000-0000100A0000}"/>
    <cellStyle name="_우주센_우주센터투찰_송학하수품의(설계넣고)_무안-광주2공구(협력)수정_신천동주상복합신축공사" xfId="2593" xr:uid="{00000000-0005-0000-0000-0000110A0000}"/>
    <cellStyle name="_우주센_우주센터투찰_송학하수품의(설계넣고)_무안-광주2공구(협력)수정_용답동오피스텔가실행" xfId="2594" xr:uid="{00000000-0005-0000-0000-0000120A0000}"/>
    <cellStyle name="_우주센_우주센터투찰_송학하수품의(설계넣고)_번암견적의뢰(협력)" xfId="2595" xr:uid="{00000000-0005-0000-0000-0000130A0000}"/>
    <cellStyle name="_우주센_우주센터투찰_송학하수품의(설계넣고)_번암견적의뢰(협력)_구기동(제출)(95.0)(031121)" xfId="2596" xr:uid="{00000000-0005-0000-0000-0000140A0000}"/>
    <cellStyle name="_우주센_우주센터투찰_송학하수품의(설계넣고)_번암견적의뢰(협력)_구기동레포츠센타제출" xfId="2597" xr:uid="{00000000-0005-0000-0000-0000150A0000}"/>
    <cellStyle name="_우주센_우주센터투찰_송학하수품의(설계넣고)_번암견적의뢰(협력)_신천동주상복합신축공사" xfId="2598" xr:uid="{00000000-0005-0000-0000-0000160A0000}"/>
    <cellStyle name="_우주센_우주센터투찰_송학하수품의(설계넣고)_번암견적의뢰(협력)_용답동오피스텔가실행" xfId="2599" xr:uid="{00000000-0005-0000-0000-0000170A0000}"/>
    <cellStyle name="_우주센_우주센터투찰_송학하수품의(설계넣고)_신천동주상복합신축공사" xfId="2600" xr:uid="{00000000-0005-0000-0000-0000180A0000}"/>
    <cellStyle name="_우주센_우주센터투찰_송학하수품의(설계넣고)_용답동오피스텔가실행" xfId="2601" xr:uid="{00000000-0005-0000-0000-0000190A0000}"/>
    <cellStyle name="_우주센_우주센터투찰_송학하수품의(설계넣고)_적상무주IC도로(1공구)" xfId="2602" xr:uid="{00000000-0005-0000-0000-00001A0A0000}"/>
    <cellStyle name="_우주센_우주센터투찰_송학하수품의(설계넣고)_적상무주IC도로(1공구)_구기동(제출)(95.0)(031121)" xfId="2603" xr:uid="{00000000-0005-0000-0000-00001B0A0000}"/>
    <cellStyle name="_우주센_우주센터투찰_송학하수품의(설계넣고)_적상무주IC도로(1공구)_구기동레포츠센타제출" xfId="2604" xr:uid="{00000000-0005-0000-0000-00001C0A0000}"/>
    <cellStyle name="_우주센_우주센터투찰_송학하수품의(설계넣고)_적상무주IC도로(1공구)_신천동주상복합신축공사" xfId="2605" xr:uid="{00000000-0005-0000-0000-00001D0A0000}"/>
    <cellStyle name="_우주센_우주센터투찰_송학하수품의(설계넣고)_적상무주IC도로(1공구)_용답동오피스텔가실행" xfId="2606" xr:uid="{00000000-0005-0000-0000-00001E0A0000}"/>
    <cellStyle name="_우주센_우주센터투찰_신천동주상복합신축공사" xfId="2607" xr:uid="{00000000-0005-0000-0000-00001F0A0000}"/>
    <cellStyle name="_우주센_우주센터투찰_용답동오피스텔가실행" xfId="2608" xr:uid="{00000000-0005-0000-0000-0000200A0000}"/>
    <cellStyle name="_우주센_우주센터투찰_적상무주IC도로(1공구)" xfId="2609" xr:uid="{00000000-0005-0000-0000-0000210A0000}"/>
    <cellStyle name="_우주센_우주센터투찰_적상무주IC도로(1공구)_구기동(제출)(95.0)(031121)" xfId="2610" xr:uid="{00000000-0005-0000-0000-0000220A0000}"/>
    <cellStyle name="_우주센_우주센터투찰_적상무주IC도로(1공구)_구기동레포츠센타제출" xfId="2611" xr:uid="{00000000-0005-0000-0000-0000230A0000}"/>
    <cellStyle name="_우주센_우주센터투찰_적상무주IC도로(1공구)_신천동주상복합신축공사" xfId="2612" xr:uid="{00000000-0005-0000-0000-0000240A0000}"/>
    <cellStyle name="_우주센_우주센터투찰_적상무주IC도로(1공구)_용답동오피스텔가실행" xfId="2613" xr:uid="{00000000-0005-0000-0000-0000250A0000}"/>
    <cellStyle name="_우주센_적상무주IC도로(1공구)" xfId="2614" xr:uid="{00000000-0005-0000-0000-0000260A0000}"/>
    <cellStyle name="_우주센_적상무주IC도로(1공구)_구기동(제출)(95.0)(031121)" xfId="2615" xr:uid="{00000000-0005-0000-0000-0000270A0000}"/>
    <cellStyle name="_우주센_적상무주IC도로(1공구)_구기동레포츠센타제출" xfId="2616" xr:uid="{00000000-0005-0000-0000-0000280A0000}"/>
    <cellStyle name="_우주센_적상무주IC도로(1공구)_신천동주상복합신축공사" xfId="2617" xr:uid="{00000000-0005-0000-0000-0000290A0000}"/>
    <cellStyle name="_우주센_적상무주IC도로(1공구)_용답동오피스텔가실행" xfId="2618" xr:uid="{00000000-0005-0000-0000-00002A0A0000}"/>
    <cellStyle name="_울산롯데호텔소방전기견적서" xfId="2619" xr:uid="{00000000-0005-0000-0000-00002B0A0000}"/>
    <cellStyle name="_울산백화점 발의내역(계약단가적용)" xfId="2620" xr:uid="{00000000-0005-0000-0000-00002C0A0000}"/>
    <cellStyle name="_울산점 영화관" xfId="2621" xr:uid="{00000000-0005-0000-0000-00002D0A0000}"/>
    <cellStyle name="_울산점소방전기공사(발주)" xfId="2622" xr:uid="{00000000-0005-0000-0000-00002E0A0000}"/>
    <cellStyle name="_울산증축마그넷약전내역" xfId="2623" xr:uid="{00000000-0005-0000-0000-00002F0A0000}"/>
    <cellStyle name="_원당 1차 실행001(030329)" xfId="2624" xr:uid="{00000000-0005-0000-0000-0000300A0000}"/>
    <cellStyle name="_원당실행내역" xfId="2625" xr:uid="{00000000-0005-0000-0000-0000310A0000}"/>
    <cellStyle name="_원주어린이집" xfId="2626" xr:uid="{00000000-0005-0000-0000-0000320A0000}"/>
    <cellStyle name="_유리(2)" xfId="2627" xr:uid="{00000000-0005-0000-0000-0000330A0000}"/>
    <cellStyle name="_유리공사사진" xfId="2628" xr:uid="{00000000-0005-0000-0000-0000340A0000}"/>
    <cellStyle name="_유아 - 수정철골내역(실행)대림" xfId="2629" xr:uid="{00000000-0005-0000-0000-0000350A0000}"/>
    <cellStyle name="_의정부 정산내역서" xfId="2630" xr:uid="{00000000-0005-0000-0000-0000360A0000}"/>
    <cellStyle name="_이테원회관" xfId="2631" xr:uid="{00000000-0005-0000-0000-0000370A0000}"/>
    <cellStyle name="_익산점내역" xfId="2632" xr:uid="{00000000-0005-0000-0000-0000380A0000}"/>
    <cellStyle name="_익산점일반전기정산내역서(자재부)" xfId="2633" xr:uid="{00000000-0005-0000-0000-0000390A0000}"/>
    <cellStyle name="_인원계획표 " xfId="2634" xr:uid="{00000000-0005-0000-0000-00003A0A0000}"/>
    <cellStyle name="_인원계획표 _04028적산수량집계" xfId="2635" xr:uid="{00000000-0005-0000-0000-00003B0A0000}"/>
    <cellStyle name="_인원계획표 _04-가실행(작업중)" xfId="2636" xr:uid="{00000000-0005-0000-0000-00003C0A0000}"/>
    <cellStyle name="_인원계획표 _04-가실행(작업중1)" xfId="2637" xr:uid="{00000000-0005-0000-0000-00003D0A0000}"/>
    <cellStyle name="_인원계획표 _1. 가실행예산(0629 도면기준)" xfId="2638" xr:uid="{00000000-0005-0000-0000-00003E0A0000}"/>
    <cellStyle name="_인원계획표 _1. 가실행예산(0629 도면기준)_4.일신통신 가실행예산(재견적合)" xfId="2639" xr:uid="{00000000-0005-0000-0000-00003F0A0000}"/>
    <cellStyle name="_인원계획표 _1. 가실행예산(0629 도면기준)_을" xfId="2640" xr:uid="{00000000-0005-0000-0000-0000400A0000}"/>
    <cellStyle name="_인원계획표 _1.본실행 - 조정(안)" xfId="2641" xr:uid="{00000000-0005-0000-0000-0000410A0000}"/>
    <cellStyle name="_인원계획표 _1.본실행 - 조정(안)_4.일신통신 가실행예산(재견적合)" xfId="2642" xr:uid="{00000000-0005-0000-0000-0000420A0000}"/>
    <cellStyle name="_인원계획표 _1.본실행 - 조정(안)_을" xfId="2643" xr:uid="{00000000-0005-0000-0000-0000430A0000}"/>
    <cellStyle name="_인원계획표 _4.일신통신 가실행예산(재견적合)" xfId="2644" xr:uid="{00000000-0005-0000-0000-0000440A0000}"/>
    <cellStyle name="_인원계획표 _KT견적요청" xfId="2645" xr:uid="{00000000-0005-0000-0000-0000450A0000}"/>
    <cellStyle name="_인원계획표 _가실행" xfId="2646" xr:uid="{00000000-0005-0000-0000-0000460A0000}"/>
    <cellStyle name="_인원계획표 _견적서양식" xfId="2647" xr:uid="{00000000-0005-0000-0000-0000470A0000}"/>
    <cellStyle name="_인원계획표 _광주평동실행" xfId="2648" xr:uid="{00000000-0005-0000-0000-0000480A0000}"/>
    <cellStyle name="_인원계획표 _광주평동실행_구기동(제출)(95.0)(031121)" xfId="2649" xr:uid="{00000000-0005-0000-0000-0000490A0000}"/>
    <cellStyle name="_인원계획표 _광주평동실행_구기동레포츠센타제출" xfId="2650" xr:uid="{00000000-0005-0000-0000-00004A0A0000}"/>
    <cellStyle name="_인원계획표 _광주평동실행_번암견적의뢰(협력)" xfId="2651" xr:uid="{00000000-0005-0000-0000-00004B0A0000}"/>
    <cellStyle name="_인원계획표 _광주평동실행_번암견적의뢰(협력)_구기동(제출)(95.0)(031121)" xfId="2652" xr:uid="{00000000-0005-0000-0000-00004C0A0000}"/>
    <cellStyle name="_인원계획표 _광주평동실행_번암견적의뢰(협력)_구기동레포츠센타제출" xfId="2653" xr:uid="{00000000-0005-0000-0000-00004D0A0000}"/>
    <cellStyle name="_인원계획표 _광주평동실행_번암견적의뢰(협력)_신천동주상복합신축공사" xfId="2654" xr:uid="{00000000-0005-0000-0000-00004E0A0000}"/>
    <cellStyle name="_인원계획표 _광주평동실행_번암견적의뢰(협력)_용답동오피스텔가실행" xfId="2655" xr:uid="{00000000-0005-0000-0000-00004F0A0000}"/>
    <cellStyle name="_인원계획표 _광주평동실행_신천동주상복합신축공사" xfId="2656" xr:uid="{00000000-0005-0000-0000-0000500A0000}"/>
    <cellStyle name="_인원계획표 _광주평동실행_용답동오피스텔가실행" xfId="2657" xr:uid="{00000000-0005-0000-0000-0000510A0000}"/>
    <cellStyle name="_인원계획표 _광주평동품의1" xfId="2658" xr:uid="{00000000-0005-0000-0000-0000520A0000}"/>
    <cellStyle name="_인원계획표 _광주평동품의1_구기동(제출)(95.0)(031121)" xfId="2659" xr:uid="{00000000-0005-0000-0000-0000530A0000}"/>
    <cellStyle name="_인원계획표 _광주평동품의1_구기동레포츠센타제출" xfId="2660" xr:uid="{00000000-0005-0000-0000-0000540A0000}"/>
    <cellStyle name="_인원계획표 _광주평동품의1_무안-광주2공구(협력)수정" xfId="2661" xr:uid="{00000000-0005-0000-0000-0000550A0000}"/>
    <cellStyle name="_인원계획표 _광주평동품의1_무안-광주2공구(협력)수정_구기동(제출)(95.0)(031121)" xfId="2662" xr:uid="{00000000-0005-0000-0000-0000560A0000}"/>
    <cellStyle name="_인원계획표 _광주평동품의1_무안-광주2공구(협력)수정_구기동레포츠센타제출" xfId="2663" xr:uid="{00000000-0005-0000-0000-0000570A0000}"/>
    <cellStyle name="_인원계획표 _광주평동품의1_무안-광주2공구(협력)수정_신천동주상복합신축공사" xfId="2664" xr:uid="{00000000-0005-0000-0000-0000580A0000}"/>
    <cellStyle name="_인원계획표 _광주평동품의1_무안-광주2공구(협력)수정_용답동오피스텔가실행" xfId="2665" xr:uid="{00000000-0005-0000-0000-0000590A0000}"/>
    <cellStyle name="_인원계획표 _광주평동품의1_번암견적의뢰(협력)" xfId="2666" xr:uid="{00000000-0005-0000-0000-00005A0A0000}"/>
    <cellStyle name="_인원계획표 _광주평동품의1_번암견적의뢰(협력)_구기동(제출)(95.0)(031121)" xfId="2667" xr:uid="{00000000-0005-0000-0000-00005B0A0000}"/>
    <cellStyle name="_인원계획표 _광주평동품의1_번암견적의뢰(협력)_구기동레포츠센타제출" xfId="2668" xr:uid="{00000000-0005-0000-0000-00005C0A0000}"/>
    <cellStyle name="_인원계획표 _광주평동품의1_번암견적의뢰(협력)_신천동주상복합신축공사" xfId="2669" xr:uid="{00000000-0005-0000-0000-00005D0A0000}"/>
    <cellStyle name="_인원계획표 _광주평동품의1_번암견적의뢰(협력)_용답동오피스텔가실행" xfId="2670" xr:uid="{00000000-0005-0000-0000-00005E0A0000}"/>
    <cellStyle name="_인원계획표 _광주평동품의1_신천동주상복합신축공사" xfId="2671" xr:uid="{00000000-0005-0000-0000-00005F0A0000}"/>
    <cellStyle name="_인원계획표 _광주평동품의1_용답동오피스텔가실행" xfId="2672" xr:uid="{00000000-0005-0000-0000-0000600A0000}"/>
    <cellStyle name="_인원계획표 _광주평동품의1_적상무주IC도로(1공구)" xfId="2673" xr:uid="{00000000-0005-0000-0000-0000610A0000}"/>
    <cellStyle name="_인원계획표 _광주평동품의1_적상무주IC도로(1공구)_구기동(제출)(95.0)(031121)" xfId="2674" xr:uid="{00000000-0005-0000-0000-0000620A0000}"/>
    <cellStyle name="_인원계획표 _광주평동품의1_적상무주IC도로(1공구)_구기동레포츠센타제출" xfId="2675" xr:uid="{00000000-0005-0000-0000-0000630A0000}"/>
    <cellStyle name="_인원계획표 _광주평동품의1_적상무주IC도로(1공구)_신천동주상복합신축공사" xfId="2676" xr:uid="{00000000-0005-0000-0000-0000640A0000}"/>
    <cellStyle name="_인원계획표 _광주평동품의1_적상무주IC도로(1공구)_용답동오피스텔가실행" xfId="2677" xr:uid="{00000000-0005-0000-0000-0000650A0000}"/>
    <cellStyle name="_인원계획표 _구기동(제출)(95.0)(031121)" xfId="2678" xr:uid="{00000000-0005-0000-0000-0000660A0000}"/>
    <cellStyle name="_인원계획표 _구기동레포츠센타제출" xfId="2679" xr:uid="{00000000-0005-0000-0000-0000670A0000}"/>
    <cellStyle name="_인원계획표 _기장하수실행1" xfId="2680" xr:uid="{00000000-0005-0000-0000-0000680A0000}"/>
    <cellStyle name="_인원계획표 _기장하수실행1_구기동(제출)(95.0)(031121)" xfId="2681" xr:uid="{00000000-0005-0000-0000-0000690A0000}"/>
    <cellStyle name="_인원계획표 _기장하수실행1_구기동레포츠센타제출" xfId="2682" xr:uid="{00000000-0005-0000-0000-00006A0A0000}"/>
    <cellStyle name="_인원계획표 _기장하수실행1_번암견적의뢰(협력)" xfId="2683" xr:uid="{00000000-0005-0000-0000-00006B0A0000}"/>
    <cellStyle name="_인원계획표 _기장하수실행1_번암견적의뢰(협력)_구기동(제출)(95.0)(031121)" xfId="2684" xr:uid="{00000000-0005-0000-0000-00006C0A0000}"/>
    <cellStyle name="_인원계획표 _기장하수실행1_번암견적의뢰(협력)_구기동레포츠센타제출" xfId="2685" xr:uid="{00000000-0005-0000-0000-00006D0A0000}"/>
    <cellStyle name="_인원계획표 _기장하수실행1_번암견적의뢰(협력)_신천동주상복합신축공사" xfId="2686" xr:uid="{00000000-0005-0000-0000-00006E0A0000}"/>
    <cellStyle name="_인원계획표 _기장하수실행1_번암견적의뢰(협력)_용답동오피스텔가실행" xfId="2687" xr:uid="{00000000-0005-0000-0000-00006F0A0000}"/>
    <cellStyle name="_인원계획표 _기장하수실행1_신천동주상복합신축공사" xfId="2688" xr:uid="{00000000-0005-0000-0000-0000700A0000}"/>
    <cellStyle name="_인원계획표 _기장하수실행1_용답동오피스텔가실행" xfId="2689" xr:uid="{00000000-0005-0000-0000-0000710A0000}"/>
    <cellStyle name="_인원계획표 _노원문화회관전기" xfId="2690" xr:uid="{00000000-0005-0000-0000-0000720A0000}"/>
    <cellStyle name="_인원계획표 _노원문화회관전기_견적서양식" xfId="2691" xr:uid="{00000000-0005-0000-0000-0000730A0000}"/>
    <cellStyle name="_인원계획표 _노원문화회관전기_소사안양도시가스견적단가" xfId="2692" xr:uid="{00000000-0005-0000-0000-0000740A0000}"/>
    <cellStyle name="_인원계획표 _노원문화회관전기_소사안양도시가스견적단가_견적서양식" xfId="2693" xr:uid="{00000000-0005-0000-0000-0000750A0000}"/>
    <cellStyle name="_인원계획표 _노원문화회관전기_안양소사자동제어단가" xfId="2694" xr:uid="{00000000-0005-0000-0000-0000760A0000}"/>
    <cellStyle name="_인원계획표 _노원문화회관전기_안양소사자동제어단가_견적서양식" xfId="2695" xr:uid="{00000000-0005-0000-0000-0000770A0000}"/>
    <cellStyle name="_인원계획표 _무안-광주2공구(협력)수정" xfId="2696" xr:uid="{00000000-0005-0000-0000-0000780A0000}"/>
    <cellStyle name="_인원계획표 _무안-광주2공구(협력)수정_구기동(제출)(95.0)(031121)" xfId="2697" xr:uid="{00000000-0005-0000-0000-0000790A0000}"/>
    <cellStyle name="_인원계획표 _무안-광주2공구(협력)수정_구기동레포츠센타제출" xfId="2698" xr:uid="{00000000-0005-0000-0000-00007A0A0000}"/>
    <cellStyle name="_인원계획표 _무안-광주2공구(협력)수정_신천동주상복합신축공사" xfId="2699" xr:uid="{00000000-0005-0000-0000-00007B0A0000}"/>
    <cellStyle name="_인원계획표 _무안-광주2공구(협력)수정_용답동오피스텔가실행" xfId="2700" xr:uid="{00000000-0005-0000-0000-00007C0A0000}"/>
    <cellStyle name="_인원계획표 _번암견적의뢰(협력)" xfId="2701" xr:uid="{00000000-0005-0000-0000-00007D0A0000}"/>
    <cellStyle name="_인원계획표 _번암견적의뢰(협력)_구기동(제출)(95.0)(031121)" xfId="2702" xr:uid="{00000000-0005-0000-0000-00007E0A0000}"/>
    <cellStyle name="_인원계획표 _번암견적의뢰(협력)_구기동레포츠센타제출" xfId="2703" xr:uid="{00000000-0005-0000-0000-00007F0A0000}"/>
    <cellStyle name="_인원계획표 _번암견적의뢰(협력)_신천동주상복합신축공사" xfId="2704" xr:uid="{00000000-0005-0000-0000-0000800A0000}"/>
    <cellStyle name="_인원계획표 _번암견적의뢰(협력)_용답동오피스텔가실행" xfId="2705" xr:uid="{00000000-0005-0000-0000-0000810A0000}"/>
    <cellStyle name="_인원계획표 _소사안양도시가스견적단가" xfId="2706" xr:uid="{00000000-0005-0000-0000-0000820A0000}"/>
    <cellStyle name="_인원계획표 _소사안양도시가스견적단가_견적서양식" xfId="2707" xr:uid="{00000000-0005-0000-0000-0000830A0000}"/>
    <cellStyle name="_인원계획표 _송학실행안" xfId="2708" xr:uid="{00000000-0005-0000-0000-0000840A0000}"/>
    <cellStyle name="_인원계획표 _송학실행안_구기동(제출)(95.0)(031121)" xfId="2709" xr:uid="{00000000-0005-0000-0000-0000850A0000}"/>
    <cellStyle name="_인원계획표 _송학실행안_구기동레포츠센타제출" xfId="2710" xr:uid="{00000000-0005-0000-0000-0000860A0000}"/>
    <cellStyle name="_인원계획표 _송학실행안_번암견적의뢰(협력)" xfId="2711" xr:uid="{00000000-0005-0000-0000-0000870A0000}"/>
    <cellStyle name="_인원계획표 _송학실행안_번암견적의뢰(협력)_구기동(제출)(95.0)(031121)" xfId="2712" xr:uid="{00000000-0005-0000-0000-0000880A0000}"/>
    <cellStyle name="_인원계획표 _송학실행안_번암견적의뢰(협력)_구기동레포츠센타제출" xfId="2713" xr:uid="{00000000-0005-0000-0000-0000890A0000}"/>
    <cellStyle name="_인원계획표 _송학실행안_번암견적의뢰(협력)_신천동주상복합신축공사" xfId="2714" xr:uid="{00000000-0005-0000-0000-00008A0A0000}"/>
    <cellStyle name="_인원계획표 _송학실행안_번암견적의뢰(협력)_용답동오피스텔가실행" xfId="2715" xr:uid="{00000000-0005-0000-0000-00008B0A0000}"/>
    <cellStyle name="_인원계획표 _송학실행안_신천동주상복합신축공사" xfId="2716" xr:uid="{00000000-0005-0000-0000-00008C0A0000}"/>
    <cellStyle name="_인원계획표 _송학실행안_용답동오피스텔가실행" xfId="2717" xr:uid="{00000000-0005-0000-0000-00008D0A0000}"/>
    <cellStyle name="_인원계획표 _송학하수투찰" xfId="2718" xr:uid="{00000000-0005-0000-0000-00008E0A0000}"/>
    <cellStyle name="_인원계획표 _송학하수투찰_구기동(제출)(95.0)(031121)" xfId="2719" xr:uid="{00000000-0005-0000-0000-00008F0A0000}"/>
    <cellStyle name="_인원계획표 _송학하수투찰_구기동레포츠센타제출" xfId="2720" xr:uid="{00000000-0005-0000-0000-0000900A0000}"/>
    <cellStyle name="_인원계획표 _송학하수투찰_번암견적의뢰(협력)" xfId="2721" xr:uid="{00000000-0005-0000-0000-0000910A0000}"/>
    <cellStyle name="_인원계획표 _송학하수투찰_번암견적의뢰(협력)_구기동(제출)(95.0)(031121)" xfId="2722" xr:uid="{00000000-0005-0000-0000-0000920A0000}"/>
    <cellStyle name="_인원계획표 _송학하수투찰_번암견적의뢰(협력)_구기동레포츠센타제출" xfId="2723" xr:uid="{00000000-0005-0000-0000-0000930A0000}"/>
    <cellStyle name="_인원계획표 _송학하수투찰_번암견적의뢰(협력)_신천동주상복합신축공사" xfId="2724" xr:uid="{00000000-0005-0000-0000-0000940A0000}"/>
    <cellStyle name="_인원계획표 _송학하수투찰_번암견적의뢰(협력)_용답동오피스텔가실행" xfId="2725" xr:uid="{00000000-0005-0000-0000-0000950A0000}"/>
    <cellStyle name="_인원계획표 _송학하수투찰_신천동주상복합신축공사" xfId="2726" xr:uid="{00000000-0005-0000-0000-0000960A0000}"/>
    <cellStyle name="_인원계획표 _송학하수투찰_용답동오피스텔가실행" xfId="2727" xr:uid="{00000000-0005-0000-0000-0000970A0000}"/>
    <cellStyle name="_인원계획표 _송학하수품의(설계넣고)" xfId="2728" xr:uid="{00000000-0005-0000-0000-0000980A0000}"/>
    <cellStyle name="_인원계획표 _송학하수품의(설계넣고)_구기동(제출)(95.0)(031121)" xfId="2729" xr:uid="{00000000-0005-0000-0000-0000990A0000}"/>
    <cellStyle name="_인원계획표 _송학하수품의(설계넣고)_구기동레포츠센타제출" xfId="2730" xr:uid="{00000000-0005-0000-0000-00009A0A0000}"/>
    <cellStyle name="_인원계획표 _송학하수품의(설계넣고)_무안-광주2공구(협력)수정" xfId="2731" xr:uid="{00000000-0005-0000-0000-00009B0A0000}"/>
    <cellStyle name="_인원계획표 _송학하수품의(설계넣고)_무안-광주2공구(협력)수정_구기동(제출)(95.0)(031121)" xfId="2732" xr:uid="{00000000-0005-0000-0000-00009C0A0000}"/>
    <cellStyle name="_인원계획표 _송학하수품의(설계넣고)_무안-광주2공구(협력)수정_구기동레포츠센타제출" xfId="2733" xr:uid="{00000000-0005-0000-0000-00009D0A0000}"/>
    <cellStyle name="_인원계획표 _송학하수품의(설계넣고)_무안-광주2공구(협력)수정_신천동주상복합신축공사" xfId="2734" xr:uid="{00000000-0005-0000-0000-00009E0A0000}"/>
    <cellStyle name="_인원계획표 _송학하수품의(설계넣고)_무안-광주2공구(협력)수정_용답동오피스텔가실행" xfId="2735" xr:uid="{00000000-0005-0000-0000-00009F0A0000}"/>
    <cellStyle name="_인원계획표 _송학하수품의(설계넣고)_번암견적의뢰(협력)" xfId="2736" xr:uid="{00000000-0005-0000-0000-0000A00A0000}"/>
    <cellStyle name="_인원계획표 _송학하수품의(설계넣고)_번암견적의뢰(협력)_구기동(제출)(95.0)(031121)" xfId="2737" xr:uid="{00000000-0005-0000-0000-0000A10A0000}"/>
    <cellStyle name="_인원계획표 _송학하수품의(설계넣고)_번암견적의뢰(협력)_구기동레포츠센타제출" xfId="2738" xr:uid="{00000000-0005-0000-0000-0000A20A0000}"/>
    <cellStyle name="_인원계획표 _송학하수품의(설계넣고)_번암견적의뢰(협력)_신천동주상복합신축공사" xfId="2739" xr:uid="{00000000-0005-0000-0000-0000A30A0000}"/>
    <cellStyle name="_인원계획표 _송학하수품의(설계넣고)_번암견적의뢰(협력)_용답동오피스텔가실행" xfId="2740" xr:uid="{00000000-0005-0000-0000-0000A40A0000}"/>
    <cellStyle name="_인원계획표 _송학하수품의(설계넣고)_신천동주상복합신축공사" xfId="2741" xr:uid="{00000000-0005-0000-0000-0000A50A0000}"/>
    <cellStyle name="_인원계획표 _송학하수품의(설계넣고)_용답동오피스텔가실행" xfId="2742" xr:uid="{00000000-0005-0000-0000-0000A60A0000}"/>
    <cellStyle name="_인원계획표 _송학하수품의(설계넣고)_적상무주IC도로(1공구)" xfId="2743" xr:uid="{00000000-0005-0000-0000-0000A70A0000}"/>
    <cellStyle name="_인원계획표 _송학하수품의(설계넣고)_적상무주IC도로(1공구)_구기동(제출)(95.0)(031121)" xfId="2744" xr:uid="{00000000-0005-0000-0000-0000A80A0000}"/>
    <cellStyle name="_인원계획표 _송학하수품의(설계넣고)_적상무주IC도로(1공구)_구기동레포츠센타제출" xfId="2745" xr:uid="{00000000-0005-0000-0000-0000A90A0000}"/>
    <cellStyle name="_인원계획표 _송학하수품의(설계넣고)_적상무주IC도로(1공구)_신천동주상복합신축공사" xfId="2746" xr:uid="{00000000-0005-0000-0000-0000AA0A0000}"/>
    <cellStyle name="_인원계획표 _송학하수품의(설계넣고)_적상무주IC도로(1공구)_용답동오피스텔가실행" xfId="2747" xr:uid="{00000000-0005-0000-0000-0000AB0A0000}"/>
    <cellStyle name="_인원계획표 _수원-가실행" xfId="2748" xr:uid="{00000000-0005-0000-0000-0000AC0A0000}"/>
    <cellStyle name="_인원계획표 _신령영천1_입찰" xfId="2749" xr:uid="{00000000-0005-0000-0000-0000AD0A0000}"/>
    <cellStyle name="_인원계획표 _신령영천1_입찰_1. 가실행예산(0629 도면기준)" xfId="2750" xr:uid="{00000000-0005-0000-0000-0000AE0A0000}"/>
    <cellStyle name="_인원계획표 _신령영천1_입찰_1. 가실행예산(0629 도면기준)_4.일신통신 가실행예산(재견적合)" xfId="2751" xr:uid="{00000000-0005-0000-0000-0000AF0A0000}"/>
    <cellStyle name="_인원계획표 _신령영천1_입찰_1. 가실행예산(0629 도면기준)_을" xfId="2752" xr:uid="{00000000-0005-0000-0000-0000B00A0000}"/>
    <cellStyle name="_인원계획표 _신령영천1_입찰_1.본실행 - 조정(안)" xfId="2753" xr:uid="{00000000-0005-0000-0000-0000B10A0000}"/>
    <cellStyle name="_인원계획표 _신령영천1_입찰_1.본실행 - 조정(안)_4.일신통신 가실행예산(재견적合)" xfId="2754" xr:uid="{00000000-0005-0000-0000-0000B20A0000}"/>
    <cellStyle name="_인원계획표 _신령영천1_입찰_1.본실행 - 조정(안)_을" xfId="2755" xr:uid="{00000000-0005-0000-0000-0000B30A0000}"/>
    <cellStyle name="_인원계획표 _신령영천1_입찰_4.일신통신 가실행예산(재견적合)" xfId="2756" xr:uid="{00000000-0005-0000-0000-0000B40A0000}"/>
    <cellStyle name="_인원계획표 _신령영천1_입찰_을" xfId="2757" xr:uid="{00000000-0005-0000-0000-0000B50A0000}"/>
    <cellStyle name="_인원계획표 _신령영천1_입찰_총괄 내역서" xfId="2758" xr:uid="{00000000-0005-0000-0000-0000B60A0000}"/>
    <cellStyle name="_인원계획표 _신령영천1_입찰_총괄 내역서_4.일신통신 가실행예산(재견적合)" xfId="2759" xr:uid="{00000000-0005-0000-0000-0000B70A0000}"/>
    <cellStyle name="_인원계획표 _신령영천1_입찰_총괄 내역서_을" xfId="2760" xr:uid="{00000000-0005-0000-0000-0000B80A0000}"/>
    <cellStyle name="_인원계획표 _신천동주상복합신축공사" xfId="2761" xr:uid="{00000000-0005-0000-0000-0000B90A0000}"/>
    <cellStyle name="_인원계획표 _안양소사자동제어단가" xfId="2762" xr:uid="{00000000-0005-0000-0000-0000BA0A0000}"/>
    <cellStyle name="_인원계획표 _안양소사자동제어단가_견적서양식" xfId="2763" xr:uid="{00000000-0005-0000-0000-0000BB0A0000}"/>
    <cellStyle name="_인원계획표 _용답동오피스텔가실행" xfId="2764" xr:uid="{00000000-0005-0000-0000-0000BC0A0000}"/>
    <cellStyle name="_인원계획표 _을" xfId="2765" xr:uid="{00000000-0005-0000-0000-0000BD0A0000}"/>
    <cellStyle name="_인원계획표 _적격 " xfId="2766" xr:uid="{00000000-0005-0000-0000-0000BE0A0000}"/>
    <cellStyle name="_인원계획표 _적격 _04028적산수량집계" xfId="2767" xr:uid="{00000000-0005-0000-0000-0000BF0A0000}"/>
    <cellStyle name="_인원계획표 _적격 _04-가실행(작업중)" xfId="2768" xr:uid="{00000000-0005-0000-0000-0000C00A0000}"/>
    <cellStyle name="_인원계획표 _적격 _04-가실행(작업중1)" xfId="2769" xr:uid="{00000000-0005-0000-0000-0000C10A0000}"/>
    <cellStyle name="_인원계획표 _적격 _KT견적요청" xfId="2770" xr:uid="{00000000-0005-0000-0000-0000C20A0000}"/>
    <cellStyle name="_인원계획표 _적격 _가실행" xfId="2771" xr:uid="{00000000-0005-0000-0000-0000C30A0000}"/>
    <cellStyle name="_인원계획표 _적격 _견적서양식" xfId="2772" xr:uid="{00000000-0005-0000-0000-0000C40A0000}"/>
    <cellStyle name="_인원계획표 _적격 _광주평동실행" xfId="2773" xr:uid="{00000000-0005-0000-0000-0000C50A0000}"/>
    <cellStyle name="_인원계획표 _적격 _광주평동실행_구기동(제출)(95.0)(031121)" xfId="2774" xr:uid="{00000000-0005-0000-0000-0000C60A0000}"/>
    <cellStyle name="_인원계획표 _적격 _광주평동실행_구기동레포츠센타제출" xfId="2775" xr:uid="{00000000-0005-0000-0000-0000C70A0000}"/>
    <cellStyle name="_인원계획표 _적격 _광주평동실행_번암견적의뢰(협력)" xfId="2776" xr:uid="{00000000-0005-0000-0000-0000C80A0000}"/>
    <cellStyle name="_인원계획표 _적격 _광주평동실행_번암견적의뢰(협력)_구기동(제출)(95.0)(031121)" xfId="2777" xr:uid="{00000000-0005-0000-0000-0000C90A0000}"/>
    <cellStyle name="_인원계획표 _적격 _광주평동실행_번암견적의뢰(협력)_구기동레포츠센타제출" xfId="2778" xr:uid="{00000000-0005-0000-0000-0000CA0A0000}"/>
    <cellStyle name="_인원계획표 _적격 _광주평동실행_번암견적의뢰(협력)_신천동주상복합신축공사" xfId="2779" xr:uid="{00000000-0005-0000-0000-0000CB0A0000}"/>
    <cellStyle name="_인원계획표 _적격 _광주평동실행_번암견적의뢰(협력)_용답동오피스텔가실행" xfId="2780" xr:uid="{00000000-0005-0000-0000-0000CC0A0000}"/>
    <cellStyle name="_인원계획표 _적격 _광주평동실행_신천동주상복합신축공사" xfId="2781" xr:uid="{00000000-0005-0000-0000-0000CD0A0000}"/>
    <cellStyle name="_인원계획표 _적격 _광주평동실행_용답동오피스텔가실행" xfId="2782" xr:uid="{00000000-0005-0000-0000-0000CE0A0000}"/>
    <cellStyle name="_인원계획표 _적격 _광주평동품의1" xfId="2783" xr:uid="{00000000-0005-0000-0000-0000CF0A0000}"/>
    <cellStyle name="_인원계획표 _적격 _광주평동품의1_구기동(제출)(95.0)(031121)" xfId="2784" xr:uid="{00000000-0005-0000-0000-0000D00A0000}"/>
    <cellStyle name="_인원계획표 _적격 _광주평동품의1_구기동레포츠센타제출" xfId="2785" xr:uid="{00000000-0005-0000-0000-0000D10A0000}"/>
    <cellStyle name="_인원계획표 _적격 _광주평동품의1_무안-광주2공구(협력)수정" xfId="2786" xr:uid="{00000000-0005-0000-0000-0000D20A0000}"/>
    <cellStyle name="_인원계획표 _적격 _광주평동품의1_무안-광주2공구(협력)수정_구기동(제출)(95.0)(031121)" xfId="2787" xr:uid="{00000000-0005-0000-0000-0000D30A0000}"/>
    <cellStyle name="_인원계획표 _적격 _광주평동품의1_무안-광주2공구(협력)수정_구기동레포츠센타제출" xfId="2788" xr:uid="{00000000-0005-0000-0000-0000D40A0000}"/>
    <cellStyle name="_인원계획표 _적격 _광주평동품의1_무안-광주2공구(협력)수정_신천동주상복합신축공사" xfId="2789" xr:uid="{00000000-0005-0000-0000-0000D50A0000}"/>
    <cellStyle name="_인원계획표 _적격 _광주평동품의1_무안-광주2공구(협력)수정_용답동오피스텔가실행" xfId="2790" xr:uid="{00000000-0005-0000-0000-0000D60A0000}"/>
    <cellStyle name="_인원계획표 _적격 _광주평동품의1_번암견적의뢰(협력)" xfId="2791" xr:uid="{00000000-0005-0000-0000-0000D70A0000}"/>
    <cellStyle name="_인원계획표 _적격 _광주평동품의1_번암견적의뢰(협력)_구기동(제출)(95.0)(031121)" xfId="2792" xr:uid="{00000000-0005-0000-0000-0000D80A0000}"/>
    <cellStyle name="_인원계획표 _적격 _광주평동품의1_번암견적의뢰(협력)_구기동레포츠센타제출" xfId="2793" xr:uid="{00000000-0005-0000-0000-0000D90A0000}"/>
    <cellStyle name="_인원계획표 _적격 _광주평동품의1_번암견적의뢰(협력)_신천동주상복합신축공사" xfId="2794" xr:uid="{00000000-0005-0000-0000-0000DA0A0000}"/>
    <cellStyle name="_인원계획표 _적격 _광주평동품의1_번암견적의뢰(협력)_용답동오피스텔가실행" xfId="2795" xr:uid="{00000000-0005-0000-0000-0000DB0A0000}"/>
    <cellStyle name="_인원계획표 _적격 _광주평동품의1_신천동주상복합신축공사" xfId="2796" xr:uid="{00000000-0005-0000-0000-0000DC0A0000}"/>
    <cellStyle name="_인원계획표 _적격 _광주평동품의1_용답동오피스텔가실행" xfId="2797" xr:uid="{00000000-0005-0000-0000-0000DD0A0000}"/>
    <cellStyle name="_인원계획표 _적격 _광주평동품의1_적상무주IC도로(1공구)" xfId="2798" xr:uid="{00000000-0005-0000-0000-0000DE0A0000}"/>
    <cellStyle name="_인원계획표 _적격 _광주평동품의1_적상무주IC도로(1공구)_구기동(제출)(95.0)(031121)" xfId="2799" xr:uid="{00000000-0005-0000-0000-0000DF0A0000}"/>
    <cellStyle name="_인원계획표 _적격 _광주평동품의1_적상무주IC도로(1공구)_구기동레포츠센타제출" xfId="2800" xr:uid="{00000000-0005-0000-0000-0000E00A0000}"/>
    <cellStyle name="_인원계획표 _적격 _광주평동품의1_적상무주IC도로(1공구)_신천동주상복합신축공사" xfId="2801" xr:uid="{00000000-0005-0000-0000-0000E10A0000}"/>
    <cellStyle name="_인원계획표 _적격 _광주평동품의1_적상무주IC도로(1공구)_용답동오피스텔가실행" xfId="2802" xr:uid="{00000000-0005-0000-0000-0000E20A0000}"/>
    <cellStyle name="_인원계획표 _적격 _구기동(제출)(95.0)(031121)" xfId="2803" xr:uid="{00000000-0005-0000-0000-0000E30A0000}"/>
    <cellStyle name="_인원계획표 _적격 _구기동레포츠센타제출" xfId="2804" xr:uid="{00000000-0005-0000-0000-0000E40A0000}"/>
    <cellStyle name="_인원계획표 _적격 _기장하수실행1" xfId="2805" xr:uid="{00000000-0005-0000-0000-0000E50A0000}"/>
    <cellStyle name="_인원계획표 _적격 _기장하수실행1_구기동(제출)(95.0)(031121)" xfId="2806" xr:uid="{00000000-0005-0000-0000-0000E60A0000}"/>
    <cellStyle name="_인원계획표 _적격 _기장하수실행1_구기동레포츠센타제출" xfId="2807" xr:uid="{00000000-0005-0000-0000-0000E70A0000}"/>
    <cellStyle name="_인원계획표 _적격 _기장하수실행1_번암견적의뢰(협력)" xfId="2808" xr:uid="{00000000-0005-0000-0000-0000E80A0000}"/>
    <cellStyle name="_인원계획표 _적격 _기장하수실행1_번암견적의뢰(협력)_구기동(제출)(95.0)(031121)" xfId="2809" xr:uid="{00000000-0005-0000-0000-0000E90A0000}"/>
    <cellStyle name="_인원계획표 _적격 _기장하수실행1_번암견적의뢰(협력)_구기동레포츠센타제출" xfId="2810" xr:uid="{00000000-0005-0000-0000-0000EA0A0000}"/>
    <cellStyle name="_인원계획표 _적격 _기장하수실행1_번암견적의뢰(협력)_신천동주상복합신축공사" xfId="2811" xr:uid="{00000000-0005-0000-0000-0000EB0A0000}"/>
    <cellStyle name="_인원계획표 _적격 _기장하수실행1_번암견적의뢰(협력)_용답동오피스텔가실행" xfId="2812" xr:uid="{00000000-0005-0000-0000-0000EC0A0000}"/>
    <cellStyle name="_인원계획표 _적격 _기장하수실행1_신천동주상복합신축공사" xfId="2813" xr:uid="{00000000-0005-0000-0000-0000ED0A0000}"/>
    <cellStyle name="_인원계획표 _적격 _기장하수실행1_용답동오피스텔가실행" xfId="2814" xr:uid="{00000000-0005-0000-0000-0000EE0A0000}"/>
    <cellStyle name="_인원계획표 _적격 _노원문화회관전기" xfId="2815" xr:uid="{00000000-0005-0000-0000-0000EF0A0000}"/>
    <cellStyle name="_인원계획표 _적격 _노원문화회관전기_견적서양식" xfId="2816" xr:uid="{00000000-0005-0000-0000-0000F00A0000}"/>
    <cellStyle name="_인원계획표 _적격 _노원문화회관전기_소사안양도시가스견적단가" xfId="2817" xr:uid="{00000000-0005-0000-0000-0000F10A0000}"/>
    <cellStyle name="_인원계획표 _적격 _노원문화회관전기_소사안양도시가스견적단가_견적서양식" xfId="2818" xr:uid="{00000000-0005-0000-0000-0000F20A0000}"/>
    <cellStyle name="_인원계획표 _적격 _노원문화회관전기_안양소사자동제어단가" xfId="2819" xr:uid="{00000000-0005-0000-0000-0000F30A0000}"/>
    <cellStyle name="_인원계획표 _적격 _노원문화회관전기_안양소사자동제어단가_견적서양식" xfId="2820" xr:uid="{00000000-0005-0000-0000-0000F40A0000}"/>
    <cellStyle name="_인원계획표 _적격 _무안-광주2공구(협력)수정" xfId="2821" xr:uid="{00000000-0005-0000-0000-0000F50A0000}"/>
    <cellStyle name="_인원계획표 _적격 _무안-광주2공구(협력)수정_구기동(제출)(95.0)(031121)" xfId="2822" xr:uid="{00000000-0005-0000-0000-0000F60A0000}"/>
    <cellStyle name="_인원계획표 _적격 _무안-광주2공구(협력)수정_구기동레포츠센타제출" xfId="2823" xr:uid="{00000000-0005-0000-0000-0000F70A0000}"/>
    <cellStyle name="_인원계획표 _적격 _무안-광주2공구(협력)수정_신천동주상복합신축공사" xfId="2824" xr:uid="{00000000-0005-0000-0000-0000F80A0000}"/>
    <cellStyle name="_인원계획표 _적격 _무안-광주2공구(협력)수정_용답동오피스텔가실행" xfId="2825" xr:uid="{00000000-0005-0000-0000-0000F90A0000}"/>
    <cellStyle name="_인원계획표 _적격 _번암견적의뢰(협력)" xfId="2826" xr:uid="{00000000-0005-0000-0000-0000FA0A0000}"/>
    <cellStyle name="_인원계획표 _적격 _번암견적의뢰(협력)_구기동(제출)(95.0)(031121)" xfId="2827" xr:uid="{00000000-0005-0000-0000-0000FB0A0000}"/>
    <cellStyle name="_인원계획표 _적격 _번암견적의뢰(협력)_구기동레포츠센타제출" xfId="2828" xr:uid="{00000000-0005-0000-0000-0000FC0A0000}"/>
    <cellStyle name="_인원계획표 _적격 _번암견적의뢰(협력)_신천동주상복합신축공사" xfId="2829" xr:uid="{00000000-0005-0000-0000-0000FD0A0000}"/>
    <cellStyle name="_인원계획표 _적격 _번암견적의뢰(협력)_용답동오피스텔가실행" xfId="2830" xr:uid="{00000000-0005-0000-0000-0000FE0A0000}"/>
    <cellStyle name="_인원계획표 _적격 _소사안양도시가스견적단가" xfId="2831" xr:uid="{00000000-0005-0000-0000-0000FF0A0000}"/>
    <cellStyle name="_인원계획표 _적격 _소사안양도시가스견적단가_견적서양식" xfId="2832" xr:uid="{00000000-0005-0000-0000-0000000B0000}"/>
    <cellStyle name="_인원계획표 _적격 _송학실행안" xfId="2833" xr:uid="{00000000-0005-0000-0000-0000010B0000}"/>
    <cellStyle name="_인원계획표 _적격 _송학실행안_구기동(제출)(95.0)(031121)" xfId="2834" xr:uid="{00000000-0005-0000-0000-0000020B0000}"/>
    <cellStyle name="_인원계획표 _적격 _송학실행안_구기동레포츠센타제출" xfId="2835" xr:uid="{00000000-0005-0000-0000-0000030B0000}"/>
    <cellStyle name="_인원계획표 _적격 _송학실행안_번암견적의뢰(협력)" xfId="2836" xr:uid="{00000000-0005-0000-0000-0000040B0000}"/>
    <cellStyle name="_인원계획표 _적격 _송학실행안_번암견적의뢰(협력)_구기동(제출)(95.0)(031121)" xfId="2837" xr:uid="{00000000-0005-0000-0000-0000050B0000}"/>
    <cellStyle name="_인원계획표 _적격 _송학실행안_번암견적의뢰(협력)_구기동레포츠센타제출" xfId="2838" xr:uid="{00000000-0005-0000-0000-0000060B0000}"/>
    <cellStyle name="_인원계획표 _적격 _송학실행안_번암견적의뢰(협력)_신천동주상복합신축공사" xfId="2839" xr:uid="{00000000-0005-0000-0000-0000070B0000}"/>
    <cellStyle name="_인원계획표 _적격 _송학실행안_번암견적의뢰(협력)_용답동오피스텔가실행" xfId="2840" xr:uid="{00000000-0005-0000-0000-0000080B0000}"/>
    <cellStyle name="_인원계획표 _적격 _송학실행안_신천동주상복합신축공사" xfId="2841" xr:uid="{00000000-0005-0000-0000-0000090B0000}"/>
    <cellStyle name="_인원계획표 _적격 _송학실행안_용답동오피스텔가실행" xfId="2842" xr:uid="{00000000-0005-0000-0000-00000A0B0000}"/>
    <cellStyle name="_인원계획표 _적격 _송학하수투찰" xfId="2843" xr:uid="{00000000-0005-0000-0000-00000B0B0000}"/>
    <cellStyle name="_인원계획표 _적격 _송학하수투찰_구기동(제출)(95.0)(031121)" xfId="2844" xr:uid="{00000000-0005-0000-0000-00000C0B0000}"/>
    <cellStyle name="_인원계획표 _적격 _송학하수투찰_구기동레포츠센타제출" xfId="2845" xr:uid="{00000000-0005-0000-0000-00000D0B0000}"/>
    <cellStyle name="_인원계획표 _적격 _송학하수투찰_번암견적의뢰(협력)" xfId="2846" xr:uid="{00000000-0005-0000-0000-00000E0B0000}"/>
    <cellStyle name="_인원계획표 _적격 _송학하수투찰_번암견적의뢰(협력)_구기동(제출)(95.0)(031121)" xfId="2847" xr:uid="{00000000-0005-0000-0000-00000F0B0000}"/>
    <cellStyle name="_인원계획표 _적격 _송학하수투찰_번암견적의뢰(협력)_구기동레포츠센타제출" xfId="2848" xr:uid="{00000000-0005-0000-0000-0000100B0000}"/>
    <cellStyle name="_인원계획표 _적격 _송학하수투찰_번암견적의뢰(협력)_신천동주상복합신축공사" xfId="2849" xr:uid="{00000000-0005-0000-0000-0000110B0000}"/>
    <cellStyle name="_인원계획표 _적격 _송학하수투찰_번암견적의뢰(협력)_용답동오피스텔가실행" xfId="2850" xr:uid="{00000000-0005-0000-0000-0000120B0000}"/>
    <cellStyle name="_인원계획표 _적격 _송학하수투찰_신천동주상복합신축공사" xfId="2851" xr:uid="{00000000-0005-0000-0000-0000130B0000}"/>
    <cellStyle name="_인원계획표 _적격 _송학하수투찰_용답동오피스텔가실행" xfId="2852" xr:uid="{00000000-0005-0000-0000-0000140B0000}"/>
    <cellStyle name="_인원계획표 _적격 _송학하수품의(설계넣고)" xfId="2853" xr:uid="{00000000-0005-0000-0000-0000150B0000}"/>
    <cellStyle name="_인원계획표 _적격 _송학하수품의(설계넣고)_구기동(제출)(95.0)(031121)" xfId="2854" xr:uid="{00000000-0005-0000-0000-0000160B0000}"/>
    <cellStyle name="_인원계획표 _적격 _송학하수품의(설계넣고)_구기동레포츠센타제출" xfId="2855" xr:uid="{00000000-0005-0000-0000-0000170B0000}"/>
    <cellStyle name="_인원계획표 _적격 _송학하수품의(설계넣고)_무안-광주2공구(협력)수정" xfId="2856" xr:uid="{00000000-0005-0000-0000-0000180B0000}"/>
    <cellStyle name="_인원계획표 _적격 _송학하수품의(설계넣고)_무안-광주2공구(협력)수정_구기동(제출)(95.0)(031121)" xfId="2857" xr:uid="{00000000-0005-0000-0000-0000190B0000}"/>
    <cellStyle name="_인원계획표 _적격 _송학하수품의(설계넣고)_무안-광주2공구(협력)수정_구기동레포츠센타제출" xfId="2858" xr:uid="{00000000-0005-0000-0000-00001A0B0000}"/>
    <cellStyle name="_인원계획표 _적격 _송학하수품의(설계넣고)_무안-광주2공구(협력)수정_신천동주상복합신축공사" xfId="2859" xr:uid="{00000000-0005-0000-0000-00001B0B0000}"/>
    <cellStyle name="_인원계획표 _적격 _송학하수품의(설계넣고)_무안-광주2공구(협력)수정_용답동오피스텔가실행" xfId="2860" xr:uid="{00000000-0005-0000-0000-00001C0B0000}"/>
    <cellStyle name="_인원계획표 _적격 _송학하수품의(설계넣고)_번암견적의뢰(협력)" xfId="2861" xr:uid="{00000000-0005-0000-0000-00001D0B0000}"/>
    <cellStyle name="_인원계획표 _적격 _송학하수품의(설계넣고)_번암견적의뢰(협력)_구기동(제출)(95.0)(031121)" xfId="2862" xr:uid="{00000000-0005-0000-0000-00001E0B0000}"/>
    <cellStyle name="_인원계획표 _적격 _송학하수품의(설계넣고)_번암견적의뢰(협력)_구기동레포츠센타제출" xfId="2863" xr:uid="{00000000-0005-0000-0000-00001F0B0000}"/>
    <cellStyle name="_인원계획표 _적격 _송학하수품의(설계넣고)_번암견적의뢰(협력)_신천동주상복합신축공사" xfId="2864" xr:uid="{00000000-0005-0000-0000-0000200B0000}"/>
    <cellStyle name="_인원계획표 _적격 _송학하수품의(설계넣고)_번암견적의뢰(협력)_용답동오피스텔가실행" xfId="2865" xr:uid="{00000000-0005-0000-0000-0000210B0000}"/>
    <cellStyle name="_인원계획표 _적격 _송학하수품의(설계넣고)_신천동주상복합신축공사" xfId="2866" xr:uid="{00000000-0005-0000-0000-0000220B0000}"/>
    <cellStyle name="_인원계획표 _적격 _송학하수품의(설계넣고)_용답동오피스텔가실행" xfId="2867" xr:uid="{00000000-0005-0000-0000-0000230B0000}"/>
    <cellStyle name="_인원계획표 _적격 _송학하수품의(설계넣고)_적상무주IC도로(1공구)" xfId="2868" xr:uid="{00000000-0005-0000-0000-0000240B0000}"/>
    <cellStyle name="_인원계획표 _적격 _송학하수품의(설계넣고)_적상무주IC도로(1공구)_구기동(제출)(95.0)(031121)" xfId="2869" xr:uid="{00000000-0005-0000-0000-0000250B0000}"/>
    <cellStyle name="_인원계획표 _적격 _송학하수품의(설계넣고)_적상무주IC도로(1공구)_구기동레포츠센타제출" xfId="2870" xr:uid="{00000000-0005-0000-0000-0000260B0000}"/>
    <cellStyle name="_인원계획표 _적격 _송학하수품의(설계넣고)_적상무주IC도로(1공구)_신천동주상복합신축공사" xfId="2871" xr:uid="{00000000-0005-0000-0000-0000270B0000}"/>
    <cellStyle name="_인원계획표 _적격 _송학하수품의(설계넣고)_적상무주IC도로(1공구)_용답동오피스텔가실행" xfId="2872" xr:uid="{00000000-0005-0000-0000-0000280B0000}"/>
    <cellStyle name="_인원계획표 _적격 _수원-가실행" xfId="2873" xr:uid="{00000000-0005-0000-0000-0000290B0000}"/>
    <cellStyle name="_인원계획표 _적격 _신천동주상복합신축공사" xfId="2874" xr:uid="{00000000-0005-0000-0000-00002A0B0000}"/>
    <cellStyle name="_인원계획표 _적격 _안양소사자동제어단가" xfId="2875" xr:uid="{00000000-0005-0000-0000-00002B0B0000}"/>
    <cellStyle name="_인원계획표 _적격 _안양소사자동제어단가_견적서양식" xfId="2876" xr:uid="{00000000-0005-0000-0000-00002C0B0000}"/>
    <cellStyle name="_인원계획표 _적격 _용답동오피스텔가실행" xfId="2877" xr:uid="{00000000-0005-0000-0000-00002D0B0000}"/>
    <cellStyle name="_인원계획표 _적격 _적상무주IC도로(1공구)" xfId="2878" xr:uid="{00000000-0005-0000-0000-00002E0B0000}"/>
    <cellStyle name="_인원계획표 _적격 _적상무주IC도로(1공구)_구기동(제출)(95.0)(031121)" xfId="2879" xr:uid="{00000000-0005-0000-0000-00002F0B0000}"/>
    <cellStyle name="_인원계획표 _적격 _적상무주IC도로(1공구)_구기동레포츠센타제출" xfId="2880" xr:uid="{00000000-0005-0000-0000-0000300B0000}"/>
    <cellStyle name="_인원계획표 _적격 _적상무주IC도로(1공구)_신천동주상복합신축공사" xfId="2881" xr:uid="{00000000-0005-0000-0000-0000310B0000}"/>
    <cellStyle name="_인원계획표 _적격 _적상무주IC도로(1공구)_용답동오피스텔가실행" xfId="2882" xr:uid="{00000000-0005-0000-0000-0000320B0000}"/>
    <cellStyle name="_인원계획표 _적상무주IC도로(1공구)" xfId="2883" xr:uid="{00000000-0005-0000-0000-0000330B0000}"/>
    <cellStyle name="_인원계획표 _적상무주IC도로(1공구)_구기동(제출)(95.0)(031121)" xfId="2884" xr:uid="{00000000-0005-0000-0000-0000340B0000}"/>
    <cellStyle name="_인원계획표 _적상무주IC도로(1공구)_구기동레포츠센타제출" xfId="2885" xr:uid="{00000000-0005-0000-0000-0000350B0000}"/>
    <cellStyle name="_인원계획표 _적상무주IC도로(1공구)_신천동주상복합신축공사" xfId="2886" xr:uid="{00000000-0005-0000-0000-0000360B0000}"/>
    <cellStyle name="_인원계획표 _적상무주IC도로(1공구)_용답동오피스텔가실행" xfId="2887" xr:uid="{00000000-0005-0000-0000-0000370B0000}"/>
    <cellStyle name="_인원계획표 _총괄 내역서" xfId="2888" xr:uid="{00000000-0005-0000-0000-0000380B0000}"/>
    <cellStyle name="_인원계획표 _총괄 내역서_4.일신통신 가실행예산(재견적合)" xfId="2889" xr:uid="{00000000-0005-0000-0000-0000390B0000}"/>
    <cellStyle name="_인원계획표 _총괄 내역서_을" xfId="2890" xr:uid="{00000000-0005-0000-0000-00003A0B0000}"/>
    <cellStyle name="_인원계획표 _투찰(안덕대정)" xfId="2891" xr:uid="{00000000-0005-0000-0000-00003B0B0000}"/>
    <cellStyle name="_인원계획표 _투찰(안덕대정)_1. 가실행예산(0629 도면기준)" xfId="2892" xr:uid="{00000000-0005-0000-0000-00003C0B0000}"/>
    <cellStyle name="_인원계획표 _투찰(안덕대정)_1. 가실행예산(0629 도면기준)_4.일신통신 가실행예산(재견적合)" xfId="2893" xr:uid="{00000000-0005-0000-0000-00003D0B0000}"/>
    <cellStyle name="_인원계획표 _투찰(안덕대정)_1. 가실행예산(0629 도면기준)_을" xfId="2894" xr:uid="{00000000-0005-0000-0000-00003E0B0000}"/>
    <cellStyle name="_인원계획표 _투찰(안덕대정)_1.본실행 - 조정(안)" xfId="2895" xr:uid="{00000000-0005-0000-0000-00003F0B0000}"/>
    <cellStyle name="_인원계획표 _투찰(안덕대정)_1.본실행 - 조정(안)_4.일신통신 가실행예산(재견적合)" xfId="2896" xr:uid="{00000000-0005-0000-0000-0000400B0000}"/>
    <cellStyle name="_인원계획표 _투찰(안덕대정)_1.본실행 - 조정(안)_을" xfId="2897" xr:uid="{00000000-0005-0000-0000-0000410B0000}"/>
    <cellStyle name="_인원계획표 _투찰(안덕대정)_4.일신통신 가실행예산(재견적合)" xfId="2898" xr:uid="{00000000-0005-0000-0000-0000420B0000}"/>
    <cellStyle name="_인원계획표 _투찰(안덕대정)_을" xfId="2899" xr:uid="{00000000-0005-0000-0000-0000430B0000}"/>
    <cellStyle name="_인원계획표 _투찰(안덕대정)_총괄 내역서" xfId="2900" xr:uid="{00000000-0005-0000-0000-0000440B0000}"/>
    <cellStyle name="_인원계획표 _투찰(안덕대정)_총괄 내역서_4.일신통신 가실행예산(재견적合)" xfId="2901" xr:uid="{00000000-0005-0000-0000-0000450B0000}"/>
    <cellStyle name="_인원계획표 _투찰(안덕대정)_총괄 내역서_을" xfId="2902" xr:uid="{00000000-0005-0000-0000-0000460B0000}"/>
    <cellStyle name="_인원계획표 _투찰(안덕대정)_투찰_대둔산" xfId="2903" xr:uid="{00000000-0005-0000-0000-0000470B0000}"/>
    <cellStyle name="_인원계획표 _투찰(안덕대정)_투찰_대둔산_1. 가실행예산(0629 도면기준)" xfId="2904" xr:uid="{00000000-0005-0000-0000-0000480B0000}"/>
    <cellStyle name="_인원계획표 _투찰(안덕대정)_투찰_대둔산_1. 가실행예산(0629 도면기준)_4.일신통신 가실행예산(재견적合)" xfId="2905" xr:uid="{00000000-0005-0000-0000-0000490B0000}"/>
    <cellStyle name="_인원계획표 _투찰(안덕대정)_투찰_대둔산_1. 가실행예산(0629 도면기준)_을" xfId="2906" xr:uid="{00000000-0005-0000-0000-00004A0B0000}"/>
    <cellStyle name="_인원계획표 _투찰(안덕대정)_투찰_대둔산_1.본실행 - 조정(안)" xfId="2907" xr:uid="{00000000-0005-0000-0000-00004B0B0000}"/>
    <cellStyle name="_인원계획표 _투찰(안덕대정)_투찰_대둔산_1.본실행 - 조정(안)_4.일신통신 가실행예산(재견적合)" xfId="2908" xr:uid="{00000000-0005-0000-0000-00004C0B0000}"/>
    <cellStyle name="_인원계획표 _투찰(안덕대정)_투찰_대둔산_1.본실행 - 조정(안)_을" xfId="2909" xr:uid="{00000000-0005-0000-0000-00004D0B0000}"/>
    <cellStyle name="_인원계획표 _투찰(안덕대정)_투찰_대둔산_4.일신통신 가실행예산(재견적合)" xfId="2910" xr:uid="{00000000-0005-0000-0000-00004E0B0000}"/>
    <cellStyle name="_인원계획표 _투찰(안덕대정)_투찰_대둔산_을" xfId="2911" xr:uid="{00000000-0005-0000-0000-00004F0B0000}"/>
    <cellStyle name="_인원계획표 _투찰(안덕대정)_투찰_대둔산_총괄 내역서" xfId="2912" xr:uid="{00000000-0005-0000-0000-0000500B0000}"/>
    <cellStyle name="_인원계획표 _투찰(안덕대정)_투찰_대둔산_총괄 내역서_4.일신통신 가실행예산(재견적合)" xfId="2913" xr:uid="{00000000-0005-0000-0000-0000510B0000}"/>
    <cellStyle name="_인원계획표 _투찰(안덕대정)_투찰_대둔산_총괄 내역서_을" xfId="2914" xr:uid="{00000000-0005-0000-0000-0000520B0000}"/>
    <cellStyle name="_인원계획표 _투찰(안덕대정)1" xfId="2915" xr:uid="{00000000-0005-0000-0000-0000530B0000}"/>
    <cellStyle name="_인원계획표 _투찰(안덕대정)1_1. 가실행예산(0629 도면기준)" xfId="2916" xr:uid="{00000000-0005-0000-0000-0000540B0000}"/>
    <cellStyle name="_인원계획표 _투찰(안덕대정)1_1. 가실행예산(0629 도면기준)_4.일신통신 가실행예산(재견적合)" xfId="2917" xr:uid="{00000000-0005-0000-0000-0000550B0000}"/>
    <cellStyle name="_인원계획표 _투찰(안덕대정)1_1. 가실행예산(0629 도면기준)_을" xfId="2918" xr:uid="{00000000-0005-0000-0000-0000560B0000}"/>
    <cellStyle name="_인원계획표 _투찰(안덕대정)1_1.본실행 - 조정(안)" xfId="2919" xr:uid="{00000000-0005-0000-0000-0000570B0000}"/>
    <cellStyle name="_인원계획표 _투찰(안덕대정)1_1.본실행 - 조정(안)_4.일신통신 가실행예산(재견적合)" xfId="2920" xr:uid="{00000000-0005-0000-0000-0000580B0000}"/>
    <cellStyle name="_인원계획표 _투찰(안덕대정)1_1.본실행 - 조정(안)_을" xfId="2921" xr:uid="{00000000-0005-0000-0000-0000590B0000}"/>
    <cellStyle name="_인원계획표 _투찰(안덕대정)1_4.일신통신 가실행예산(재견적合)" xfId="2922" xr:uid="{00000000-0005-0000-0000-00005A0B0000}"/>
    <cellStyle name="_인원계획표 _투찰(안덕대정)1_을" xfId="2923" xr:uid="{00000000-0005-0000-0000-00005B0B0000}"/>
    <cellStyle name="_인원계획표 _투찰(안덕대정)1_총괄 내역서" xfId="2924" xr:uid="{00000000-0005-0000-0000-00005C0B0000}"/>
    <cellStyle name="_인원계획표 _투찰(안덕대정)1_총괄 내역서_4.일신통신 가실행예산(재견적合)" xfId="2925" xr:uid="{00000000-0005-0000-0000-00005D0B0000}"/>
    <cellStyle name="_인원계획표 _투찰(안덕대정)1_총괄 내역서_을" xfId="2926" xr:uid="{00000000-0005-0000-0000-00005E0B0000}"/>
    <cellStyle name="_인원계획표 _투찰(안덕대정)1_투찰_대둔산" xfId="2927" xr:uid="{00000000-0005-0000-0000-00005F0B0000}"/>
    <cellStyle name="_인원계획표 _투찰(안덕대정)1_투찰_대둔산_1. 가실행예산(0629 도면기준)" xfId="2928" xr:uid="{00000000-0005-0000-0000-0000600B0000}"/>
    <cellStyle name="_인원계획표 _투찰(안덕대정)1_투찰_대둔산_1. 가실행예산(0629 도면기준)_4.일신통신 가실행예산(재견적合)" xfId="2929" xr:uid="{00000000-0005-0000-0000-0000610B0000}"/>
    <cellStyle name="_인원계획표 _투찰(안덕대정)1_투찰_대둔산_1. 가실행예산(0629 도면기준)_을" xfId="2930" xr:uid="{00000000-0005-0000-0000-0000620B0000}"/>
    <cellStyle name="_인원계획표 _투찰(안덕대정)1_투찰_대둔산_1.본실행 - 조정(안)" xfId="2931" xr:uid="{00000000-0005-0000-0000-0000630B0000}"/>
    <cellStyle name="_인원계획표 _투찰(안덕대정)1_투찰_대둔산_1.본실행 - 조정(안)_4.일신통신 가실행예산(재견적合)" xfId="2932" xr:uid="{00000000-0005-0000-0000-0000640B0000}"/>
    <cellStyle name="_인원계획표 _투찰(안덕대정)1_투찰_대둔산_1.본실행 - 조정(안)_을" xfId="2933" xr:uid="{00000000-0005-0000-0000-0000650B0000}"/>
    <cellStyle name="_인원계획표 _투찰(안덕대정)1_투찰_대둔산_4.일신통신 가실행예산(재견적合)" xfId="2934" xr:uid="{00000000-0005-0000-0000-0000660B0000}"/>
    <cellStyle name="_인원계획표 _투찰(안덕대정)1_투찰_대둔산_을" xfId="2935" xr:uid="{00000000-0005-0000-0000-0000670B0000}"/>
    <cellStyle name="_인원계획표 _투찰(안덕대정)1_투찰_대둔산_총괄 내역서" xfId="2936" xr:uid="{00000000-0005-0000-0000-0000680B0000}"/>
    <cellStyle name="_인원계획표 _투찰(안덕대정)1_투찰_대둔산_총괄 내역서_4.일신통신 가실행예산(재견적合)" xfId="2937" xr:uid="{00000000-0005-0000-0000-0000690B0000}"/>
    <cellStyle name="_인원계획표 _투찰(안덕대정)1_투찰_대둔산_총괄 내역서_을" xfId="2938" xr:uid="{00000000-0005-0000-0000-00006A0B0000}"/>
    <cellStyle name="_인원계획표 _투찰_대둔산" xfId="2939" xr:uid="{00000000-0005-0000-0000-00006B0B0000}"/>
    <cellStyle name="_인원계획표 _투찰_대둔산_1. 가실행예산(0629 도면기준)" xfId="2940" xr:uid="{00000000-0005-0000-0000-00006C0B0000}"/>
    <cellStyle name="_인원계획표 _투찰_대둔산_1. 가실행예산(0629 도면기준)_4.일신통신 가실행예산(재견적合)" xfId="2941" xr:uid="{00000000-0005-0000-0000-00006D0B0000}"/>
    <cellStyle name="_인원계획표 _투찰_대둔산_1. 가실행예산(0629 도면기준)_을" xfId="2942" xr:uid="{00000000-0005-0000-0000-00006E0B0000}"/>
    <cellStyle name="_인원계획표 _투찰_대둔산_1.본실행 - 조정(안)" xfId="2943" xr:uid="{00000000-0005-0000-0000-00006F0B0000}"/>
    <cellStyle name="_인원계획표 _투찰_대둔산_1.본실행 - 조정(안)_4.일신통신 가실행예산(재견적合)" xfId="2944" xr:uid="{00000000-0005-0000-0000-0000700B0000}"/>
    <cellStyle name="_인원계획표 _투찰_대둔산_1.본실행 - 조정(안)_을" xfId="2945" xr:uid="{00000000-0005-0000-0000-0000710B0000}"/>
    <cellStyle name="_인원계획표 _투찰_대둔산_4.일신통신 가실행예산(재견적合)" xfId="2946" xr:uid="{00000000-0005-0000-0000-0000720B0000}"/>
    <cellStyle name="_인원계획표 _투찰_대둔산_을" xfId="2947" xr:uid="{00000000-0005-0000-0000-0000730B0000}"/>
    <cellStyle name="_인원계획표 _투찰_대둔산_총괄 내역서" xfId="2948" xr:uid="{00000000-0005-0000-0000-0000740B0000}"/>
    <cellStyle name="_인원계획표 _투찰_대둔산_총괄 내역서_4.일신통신 가실행예산(재견적合)" xfId="2949" xr:uid="{00000000-0005-0000-0000-0000750B0000}"/>
    <cellStyle name="_인원계획표 _투찰_대둔산_총괄 내역서_을" xfId="2950" xr:uid="{00000000-0005-0000-0000-0000760B0000}"/>
    <cellStyle name="_인원계획표 _투찰내역" xfId="2951" xr:uid="{00000000-0005-0000-0000-0000770B0000}"/>
    <cellStyle name="_인원계획표 _투찰내역_1. 가실행예산(0629 도면기준)" xfId="2952" xr:uid="{00000000-0005-0000-0000-0000780B0000}"/>
    <cellStyle name="_인원계획표 _투찰내역_1. 가실행예산(0629 도면기준)_4.일신통신 가실행예산(재견적合)" xfId="2953" xr:uid="{00000000-0005-0000-0000-0000790B0000}"/>
    <cellStyle name="_인원계획표 _투찰내역_1. 가실행예산(0629 도면기준)_을" xfId="2954" xr:uid="{00000000-0005-0000-0000-00007A0B0000}"/>
    <cellStyle name="_인원계획표 _투찰내역_1.본실행 - 조정(안)" xfId="2955" xr:uid="{00000000-0005-0000-0000-00007B0B0000}"/>
    <cellStyle name="_인원계획표 _투찰내역_1.본실행 - 조정(안)_4.일신통신 가실행예산(재견적合)" xfId="2956" xr:uid="{00000000-0005-0000-0000-00007C0B0000}"/>
    <cellStyle name="_인원계획표 _투찰내역_1.본실행 - 조정(안)_을" xfId="2957" xr:uid="{00000000-0005-0000-0000-00007D0B0000}"/>
    <cellStyle name="_인원계획표 _투찰내역_4.일신통신 가실행예산(재견적合)" xfId="2958" xr:uid="{00000000-0005-0000-0000-00007E0B0000}"/>
    <cellStyle name="_인원계획표 _투찰내역_을" xfId="2959" xr:uid="{00000000-0005-0000-0000-00007F0B0000}"/>
    <cellStyle name="_인원계획표 _투찰내역_총괄 내역서" xfId="2960" xr:uid="{00000000-0005-0000-0000-0000800B0000}"/>
    <cellStyle name="_인원계획표 _투찰내역_총괄 내역서_4.일신통신 가실행예산(재견적合)" xfId="2961" xr:uid="{00000000-0005-0000-0000-0000810B0000}"/>
    <cellStyle name="_인원계획표 _투찰내역_총괄 내역서_을" xfId="2962" xr:uid="{00000000-0005-0000-0000-0000820B0000}"/>
    <cellStyle name="_인원계획표 _호남권투찰1" xfId="2963" xr:uid="{00000000-0005-0000-0000-0000830B0000}"/>
    <cellStyle name="_인원계획표 _호남권투찰1_1. 가실행예산(0629 도면기준)" xfId="2964" xr:uid="{00000000-0005-0000-0000-0000840B0000}"/>
    <cellStyle name="_인원계획표 _호남권투찰1_1. 가실행예산(0629 도면기준)_4.일신통신 가실행예산(재견적合)" xfId="2965" xr:uid="{00000000-0005-0000-0000-0000850B0000}"/>
    <cellStyle name="_인원계획표 _호남권투찰1_1. 가실행예산(0629 도면기준)_을" xfId="2966" xr:uid="{00000000-0005-0000-0000-0000860B0000}"/>
    <cellStyle name="_인원계획표 _호남권투찰1_1.본실행 - 조정(안)" xfId="2967" xr:uid="{00000000-0005-0000-0000-0000870B0000}"/>
    <cellStyle name="_인원계획표 _호남권투찰1_1.본실행 - 조정(안)_4.일신통신 가실행예산(재견적合)" xfId="2968" xr:uid="{00000000-0005-0000-0000-0000880B0000}"/>
    <cellStyle name="_인원계획표 _호남권투찰1_1.본실행 - 조정(안)_을" xfId="2969" xr:uid="{00000000-0005-0000-0000-0000890B0000}"/>
    <cellStyle name="_인원계획표 _호남권투찰1_4.일신통신 가실행예산(재견적合)" xfId="2970" xr:uid="{00000000-0005-0000-0000-00008A0B0000}"/>
    <cellStyle name="_인원계획표 _호남권투찰1_을" xfId="2971" xr:uid="{00000000-0005-0000-0000-00008B0B0000}"/>
    <cellStyle name="_인원계획표 _호남권투찰1_총괄 내역서" xfId="2972" xr:uid="{00000000-0005-0000-0000-00008C0B0000}"/>
    <cellStyle name="_인원계획표 _호남권투찰1_총괄 내역서_4.일신통신 가실행예산(재견적合)" xfId="2973" xr:uid="{00000000-0005-0000-0000-00008D0B0000}"/>
    <cellStyle name="_인원계획표 _호남권투찰1_총괄 내역서_을" xfId="2974" xr:uid="{00000000-0005-0000-0000-00008E0B0000}"/>
    <cellStyle name="_인천공항 종료분석중" xfId="2975" xr:uid="{00000000-0005-0000-0000-00008F0B0000}"/>
    <cellStyle name="_인천복합화력" xfId="2976" xr:uid="{00000000-0005-0000-0000-0000900B0000}"/>
    <cellStyle name="_인테리어배관공사" xfId="2977" xr:uid="{00000000-0005-0000-0000-0000910B0000}"/>
    <cellStyle name="_일반전기1공구" xfId="2978" xr:uid="{00000000-0005-0000-0000-0000920B0000}"/>
    <cellStyle name="_일반전기2공구" xfId="2979" xr:uid="{00000000-0005-0000-0000-0000930B0000}"/>
    <cellStyle name="_일반전기정산" xfId="2980" xr:uid="{00000000-0005-0000-0000-0000940B0000}"/>
    <cellStyle name="_일신통신 가실행예산(대안)" xfId="2981" xr:uid="{00000000-0005-0000-0000-0000950B0000}"/>
    <cellStyle name="_일신통신 가실행예산(조정)" xfId="2982" xr:uid="{00000000-0005-0000-0000-0000960B0000}"/>
    <cellStyle name="_입찰갑지" xfId="2983" xr:uid="{00000000-0005-0000-0000-0000970B0000}"/>
    <cellStyle name="_입찰표지 " xfId="2984" xr:uid="{00000000-0005-0000-0000-0000980B0000}"/>
    <cellStyle name="_입찰표지 _04028적산수량집계" xfId="2985" xr:uid="{00000000-0005-0000-0000-0000990B0000}"/>
    <cellStyle name="_입찰표지 _04-가실행(작업중)" xfId="2986" xr:uid="{00000000-0005-0000-0000-00009A0B0000}"/>
    <cellStyle name="_입찰표지 _04-가실행(작업중1)" xfId="2987" xr:uid="{00000000-0005-0000-0000-00009B0B0000}"/>
    <cellStyle name="_입찰표지 _1. 가실행예산(0629 도면기준)" xfId="2988" xr:uid="{00000000-0005-0000-0000-00009C0B0000}"/>
    <cellStyle name="_입찰표지 _1. 가실행예산(0629 도면기준)_4.일신통신 가실행예산(재견적合)" xfId="2989" xr:uid="{00000000-0005-0000-0000-00009D0B0000}"/>
    <cellStyle name="_입찰표지 _1. 가실행예산(0629 도면기준)_을" xfId="2990" xr:uid="{00000000-0005-0000-0000-00009E0B0000}"/>
    <cellStyle name="_입찰표지 _1.본실행 - 조정(안)" xfId="2991" xr:uid="{00000000-0005-0000-0000-00009F0B0000}"/>
    <cellStyle name="_입찰표지 _1.본실행 - 조정(안)_4.일신통신 가실행예산(재견적合)" xfId="2992" xr:uid="{00000000-0005-0000-0000-0000A00B0000}"/>
    <cellStyle name="_입찰표지 _1.본실행 - 조정(안)_을" xfId="2993" xr:uid="{00000000-0005-0000-0000-0000A10B0000}"/>
    <cellStyle name="_입찰표지 _4.일신통신 가실행예산(재견적合)" xfId="2994" xr:uid="{00000000-0005-0000-0000-0000A20B0000}"/>
    <cellStyle name="_입찰표지 _KT견적요청" xfId="2995" xr:uid="{00000000-0005-0000-0000-0000A30B0000}"/>
    <cellStyle name="_입찰표지 _가실행" xfId="2996" xr:uid="{00000000-0005-0000-0000-0000A40B0000}"/>
    <cellStyle name="_입찰표지 _견적서양식" xfId="2997" xr:uid="{00000000-0005-0000-0000-0000A50B0000}"/>
    <cellStyle name="_입찰표지 _광주평동실행" xfId="2998" xr:uid="{00000000-0005-0000-0000-0000A60B0000}"/>
    <cellStyle name="_입찰표지 _광주평동실행_구기동(제출)(95.0)(031121)" xfId="2999" xr:uid="{00000000-0005-0000-0000-0000A70B0000}"/>
    <cellStyle name="_입찰표지 _광주평동실행_구기동레포츠센타제출" xfId="3000" xr:uid="{00000000-0005-0000-0000-0000A80B0000}"/>
    <cellStyle name="_입찰표지 _광주평동실행_번암견적의뢰(협력)" xfId="3001" xr:uid="{00000000-0005-0000-0000-0000A90B0000}"/>
    <cellStyle name="_입찰표지 _광주평동실행_번암견적의뢰(협력)_구기동(제출)(95.0)(031121)" xfId="3002" xr:uid="{00000000-0005-0000-0000-0000AA0B0000}"/>
    <cellStyle name="_입찰표지 _광주평동실행_번암견적의뢰(협력)_구기동레포츠센타제출" xfId="3003" xr:uid="{00000000-0005-0000-0000-0000AB0B0000}"/>
    <cellStyle name="_입찰표지 _광주평동실행_번암견적의뢰(협력)_신천동주상복합신축공사" xfId="3004" xr:uid="{00000000-0005-0000-0000-0000AC0B0000}"/>
    <cellStyle name="_입찰표지 _광주평동실행_번암견적의뢰(협력)_용답동오피스텔가실행" xfId="3005" xr:uid="{00000000-0005-0000-0000-0000AD0B0000}"/>
    <cellStyle name="_입찰표지 _광주평동실행_신천동주상복합신축공사" xfId="3006" xr:uid="{00000000-0005-0000-0000-0000AE0B0000}"/>
    <cellStyle name="_입찰표지 _광주평동실행_용답동오피스텔가실행" xfId="3007" xr:uid="{00000000-0005-0000-0000-0000AF0B0000}"/>
    <cellStyle name="_입찰표지 _광주평동품의1" xfId="3008" xr:uid="{00000000-0005-0000-0000-0000B00B0000}"/>
    <cellStyle name="_입찰표지 _광주평동품의1_구기동(제출)(95.0)(031121)" xfId="3009" xr:uid="{00000000-0005-0000-0000-0000B10B0000}"/>
    <cellStyle name="_입찰표지 _광주평동품의1_구기동레포츠센타제출" xfId="3010" xr:uid="{00000000-0005-0000-0000-0000B20B0000}"/>
    <cellStyle name="_입찰표지 _광주평동품의1_무안-광주2공구(협력)수정" xfId="3011" xr:uid="{00000000-0005-0000-0000-0000B30B0000}"/>
    <cellStyle name="_입찰표지 _광주평동품의1_무안-광주2공구(협력)수정_구기동(제출)(95.0)(031121)" xfId="3012" xr:uid="{00000000-0005-0000-0000-0000B40B0000}"/>
    <cellStyle name="_입찰표지 _광주평동품의1_무안-광주2공구(협력)수정_구기동레포츠센타제출" xfId="3013" xr:uid="{00000000-0005-0000-0000-0000B50B0000}"/>
    <cellStyle name="_입찰표지 _광주평동품의1_무안-광주2공구(협력)수정_신천동주상복합신축공사" xfId="3014" xr:uid="{00000000-0005-0000-0000-0000B60B0000}"/>
    <cellStyle name="_입찰표지 _광주평동품의1_무안-광주2공구(협력)수정_용답동오피스텔가실행" xfId="3015" xr:uid="{00000000-0005-0000-0000-0000B70B0000}"/>
    <cellStyle name="_입찰표지 _광주평동품의1_번암견적의뢰(협력)" xfId="3016" xr:uid="{00000000-0005-0000-0000-0000B80B0000}"/>
    <cellStyle name="_입찰표지 _광주평동품의1_번암견적의뢰(협력)_구기동(제출)(95.0)(031121)" xfId="3017" xr:uid="{00000000-0005-0000-0000-0000B90B0000}"/>
    <cellStyle name="_입찰표지 _광주평동품의1_번암견적의뢰(협력)_구기동레포츠센타제출" xfId="3018" xr:uid="{00000000-0005-0000-0000-0000BA0B0000}"/>
    <cellStyle name="_입찰표지 _광주평동품의1_번암견적의뢰(협력)_신천동주상복합신축공사" xfId="3019" xr:uid="{00000000-0005-0000-0000-0000BB0B0000}"/>
    <cellStyle name="_입찰표지 _광주평동품의1_번암견적의뢰(협력)_용답동오피스텔가실행" xfId="3020" xr:uid="{00000000-0005-0000-0000-0000BC0B0000}"/>
    <cellStyle name="_입찰표지 _광주평동품의1_신천동주상복합신축공사" xfId="3021" xr:uid="{00000000-0005-0000-0000-0000BD0B0000}"/>
    <cellStyle name="_입찰표지 _광주평동품의1_용답동오피스텔가실행" xfId="3022" xr:uid="{00000000-0005-0000-0000-0000BE0B0000}"/>
    <cellStyle name="_입찰표지 _광주평동품의1_적상무주IC도로(1공구)" xfId="3023" xr:uid="{00000000-0005-0000-0000-0000BF0B0000}"/>
    <cellStyle name="_입찰표지 _광주평동품의1_적상무주IC도로(1공구)_구기동(제출)(95.0)(031121)" xfId="3024" xr:uid="{00000000-0005-0000-0000-0000C00B0000}"/>
    <cellStyle name="_입찰표지 _광주평동품의1_적상무주IC도로(1공구)_구기동레포츠센타제출" xfId="3025" xr:uid="{00000000-0005-0000-0000-0000C10B0000}"/>
    <cellStyle name="_입찰표지 _광주평동품의1_적상무주IC도로(1공구)_신천동주상복합신축공사" xfId="3026" xr:uid="{00000000-0005-0000-0000-0000C20B0000}"/>
    <cellStyle name="_입찰표지 _광주평동품의1_적상무주IC도로(1공구)_용답동오피스텔가실행" xfId="3027" xr:uid="{00000000-0005-0000-0000-0000C30B0000}"/>
    <cellStyle name="_입찰표지 _구기동(제출)(95.0)(031121)" xfId="3028" xr:uid="{00000000-0005-0000-0000-0000C40B0000}"/>
    <cellStyle name="_입찰표지 _구기동레포츠센타제출" xfId="3029" xr:uid="{00000000-0005-0000-0000-0000C50B0000}"/>
    <cellStyle name="_입찰표지 _기장하수실행1" xfId="3030" xr:uid="{00000000-0005-0000-0000-0000C60B0000}"/>
    <cellStyle name="_입찰표지 _기장하수실행1_구기동(제출)(95.0)(031121)" xfId="3031" xr:uid="{00000000-0005-0000-0000-0000C70B0000}"/>
    <cellStyle name="_입찰표지 _기장하수실행1_구기동레포츠센타제출" xfId="3032" xr:uid="{00000000-0005-0000-0000-0000C80B0000}"/>
    <cellStyle name="_입찰표지 _기장하수실행1_번암견적의뢰(협력)" xfId="3033" xr:uid="{00000000-0005-0000-0000-0000C90B0000}"/>
    <cellStyle name="_입찰표지 _기장하수실행1_번암견적의뢰(협력)_구기동(제출)(95.0)(031121)" xfId="3034" xr:uid="{00000000-0005-0000-0000-0000CA0B0000}"/>
    <cellStyle name="_입찰표지 _기장하수실행1_번암견적의뢰(협력)_구기동레포츠센타제출" xfId="3035" xr:uid="{00000000-0005-0000-0000-0000CB0B0000}"/>
    <cellStyle name="_입찰표지 _기장하수실행1_번암견적의뢰(협력)_신천동주상복합신축공사" xfId="3036" xr:uid="{00000000-0005-0000-0000-0000CC0B0000}"/>
    <cellStyle name="_입찰표지 _기장하수실행1_번암견적의뢰(협력)_용답동오피스텔가실행" xfId="3037" xr:uid="{00000000-0005-0000-0000-0000CD0B0000}"/>
    <cellStyle name="_입찰표지 _기장하수실행1_신천동주상복합신축공사" xfId="3038" xr:uid="{00000000-0005-0000-0000-0000CE0B0000}"/>
    <cellStyle name="_입찰표지 _기장하수실행1_용답동오피스텔가실행" xfId="3039" xr:uid="{00000000-0005-0000-0000-0000CF0B0000}"/>
    <cellStyle name="_입찰표지 _노원문화회관전기" xfId="3040" xr:uid="{00000000-0005-0000-0000-0000D00B0000}"/>
    <cellStyle name="_입찰표지 _노원문화회관전기_견적서양식" xfId="3041" xr:uid="{00000000-0005-0000-0000-0000D10B0000}"/>
    <cellStyle name="_입찰표지 _노원문화회관전기_소사안양도시가스견적단가" xfId="3042" xr:uid="{00000000-0005-0000-0000-0000D20B0000}"/>
    <cellStyle name="_입찰표지 _노원문화회관전기_소사안양도시가스견적단가_견적서양식" xfId="3043" xr:uid="{00000000-0005-0000-0000-0000D30B0000}"/>
    <cellStyle name="_입찰표지 _노원문화회관전기_안양소사자동제어단가" xfId="3044" xr:uid="{00000000-0005-0000-0000-0000D40B0000}"/>
    <cellStyle name="_입찰표지 _노원문화회관전기_안양소사자동제어단가_견적서양식" xfId="3045" xr:uid="{00000000-0005-0000-0000-0000D50B0000}"/>
    <cellStyle name="_입찰표지 _무안-광주2공구(협력)수정" xfId="3046" xr:uid="{00000000-0005-0000-0000-0000D60B0000}"/>
    <cellStyle name="_입찰표지 _무안-광주2공구(협력)수정_구기동(제출)(95.0)(031121)" xfId="3047" xr:uid="{00000000-0005-0000-0000-0000D70B0000}"/>
    <cellStyle name="_입찰표지 _무안-광주2공구(협력)수정_구기동레포츠센타제출" xfId="3048" xr:uid="{00000000-0005-0000-0000-0000D80B0000}"/>
    <cellStyle name="_입찰표지 _무안-광주2공구(협력)수정_신천동주상복합신축공사" xfId="3049" xr:uid="{00000000-0005-0000-0000-0000D90B0000}"/>
    <cellStyle name="_입찰표지 _무안-광주2공구(협력)수정_용답동오피스텔가실행" xfId="3050" xr:uid="{00000000-0005-0000-0000-0000DA0B0000}"/>
    <cellStyle name="_입찰표지 _번암견적의뢰(협력)" xfId="3051" xr:uid="{00000000-0005-0000-0000-0000DB0B0000}"/>
    <cellStyle name="_입찰표지 _번암견적의뢰(협력)_구기동(제출)(95.0)(031121)" xfId="3052" xr:uid="{00000000-0005-0000-0000-0000DC0B0000}"/>
    <cellStyle name="_입찰표지 _번암견적의뢰(협력)_구기동레포츠센타제출" xfId="3053" xr:uid="{00000000-0005-0000-0000-0000DD0B0000}"/>
    <cellStyle name="_입찰표지 _번암견적의뢰(협력)_신천동주상복합신축공사" xfId="3054" xr:uid="{00000000-0005-0000-0000-0000DE0B0000}"/>
    <cellStyle name="_입찰표지 _번암견적의뢰(협력)_용답동오피스텔가실행" xfId="3055" xr:uid="{00000000-0005-0000-0000-0000DF0B0000}"/>
    <cellStyle name="_입찰표지 _소사안양도시가스견적단가" xfId="3056" xr:uid="{00000000-0005-0000-0000-0000E00B0000}"/>
    <cellStyle name="_입찰표지 _소사안양도시가스견적단가_견적서양식" xfId="3057" xr:uid="{00000000-0005-0000-0000-0000E10B0000}"/>
    <cellStyle name="_입찰표지 _송학실행안" xfId="3058" xr:uid="{00000000-0005-0000-0000-0000E20B0000}"/>
    <cellStyle name="_입찰표지 _송학실행안_구기동(제출)(95.0)(031121)" xfId="3059" xr:uid="{00000000-0005-0000-0000-0000E30B0000}"/>
    <cellStyle name="_입찰표지 _송학실행안_구기동레포츠센타제출" xfId="3060" xr:uid="{00000000-0005-0000-0000-0000E40B0000}"/>
    <cellStyle name="_입찰표지 _송학실행안_번암견적의뢰(협력)" xfId="3061" xr:uid="{00000000-0005-0000-0000-0000E50B0000}"/>
    <cellStyle name="_입찰표지 _송학실행안_번암견적의뢰(협력)_구기동(제출)(95.0)(031121)" xfId="3062" xr:uid="{00000000-0005-0000-0000-0000E60B0000}"/>
    <cellStyle name="_입찰표지 _송학실행안_번암견적의뢰(협력)_구기동레포츠센타제출" xfId="3063" xr:uid="{00000000-0005-0000-0000-0000E70B0000}"/>
    <cellStyle name="_입찰표지 _송학실행안_번암견적의뢰(협력)_신천동주상복합신축공사" xfId="3064" xr:uid="{00000000-0005-0000-0000-0000E80B0000}"/>
    <cellStyle name="_입찰표지 _송학실행안_번암견적의뢰(협력)_용답동오피스텔가실행" xfId="3065" xr:uid="{00000000-0005-0000-0000-0000E90B0000}"/>
    <cellStyle name="_입찰표지 _송학실행안_신천동주상복합신축공사" xfId="3066" xr:uid="{00000000-0005-0000-0000-0000EA0B0000}"/>
    <cellStyle name="_입찰표지 _송학실행안_용답동오피스텔가실행" xfId="3067" xr:uid="{00000000-0005-0000-0000-0000EB0B0000}"/>
    <cellStyle name="_입찰표지 _송학하수투찰" xfId="3068" xr:uid="{00000000-0005-0000-0000-0000EC0B0000}"/>
    <cellStyle name="_입찰표지 _송학하수투찰_구기동(제출)(95.0)(031121)" xfId="3069" xr:uid="{00000000-0005-0000-0000-0000ED0B0000}"/>
    <cellStyle name="_입찰표지 _송학하수투찰_구기동레포츠센타제출" xfId="3070" xr:uid="{00000000-0005-0000-0000-0000EE0B0000}"/>
    <cellStyle name="_입찰표지 _송학하수투찰_번암견적의뢰(협력)" xfId="3071" xr:uid="{00000000-0005-0000-0000-0000EF0B0000}"/>
    <cellStyle name="_입찰표지 _송학하수투찰_번암견적의뢰(협력)_구기동(제출)(95.0)(031121)" xfId="3072" xr:uid="{00000000-0005-0000-0000-0000F00B0000}"/>
    <cellStyle name="_입찰표지 _송학하수투찰_번암견적의뢰(협력)_구기동레포츠센타제출" xfId="3073" xr:uid="{00000000-0005-0000-0000-0000F10B0000}"/>
    <cellStyle name="_입찰표지 _송학하수투찰_번암견적의뢰(협력)_신천동주상복합신축공사" xfId="3074" xr:uid="{00000000-0005-0000-0000-0000F20B0000}"/>
    <cellStyle name="_입찰표지 _송학하수투찰_번암견적의뢰(협력)_용답동오피스텔가실행" xfId="3075" xr:uid="{00000000-0005-0000-0000-0000F30B0000}"/>
    <cellStyle name="_입찰표지 _송학하수투찰_신천동주상복합신축공사" xfId="3076" xr:uid="{00000000-0005-0000-0000-0000F40B0000}"/>
    <cellStyle name="_입찰표지 _송학하수투찰_용답동오피스텔가실행" xfId="3077" xr:uid="{00000000-0005-0000-0000-0000F50B0000}"/>
    <cellStyle name="_입찰표지 _송학하수품의(설계넣고)" xfId="3078" xr:uid="{00000000-0005-0000-0000-0000F60B0000}"/>
    <cellStyle name="_입찰표지 _송학하수품의(설계넣고)_구기동(제출)(95.0)(031121)" xfId="3079" xr:uid="{00000000-0005-0000-0000-0000F70B0000}"/>
    <cellStyle name="_입찰표지 _송학하수품의(설계넣고)_구기동레포츠센타제출" xfId="3080" xr:uid="{00000000-0005-0000-0000-0000F80B0000}"/>
    <cellStyle name="_입찰표지 _송학하수품의(설계넣고)_무안-광주2공구(협력)수정" xfId="3081" xr:uid="{00000000-0005-0000-0000-0000F90B0000}"/>
    <cellStyle name="_입찰표지 _송학하수품의(설계넣고)_무안-광주2공구(협력)수정_구기동(제출)(95.0)(031121)" xfId="3082" xr:uid="{00000000-0005-0000-0000-0000FA0B0000}"/>
    <cellStyle name="_입찰표지 _송학하수품의(설계넣고)_무안-광주2공구(협력)수정_구기동레포츠센타제출" xfId="3083" xr:uid="{00000000-0005-0000-0000-0000FB0B0000}"/>
    <cellStyle name="_입찰표지 _송학하수품의(설계넣고)_무안-광주2공구(협력)수정_신천동주상복합신축공사" xfId="3084" xr:uid="{00000000-0005-0000-0000-0000FC0B0000}"/>
    <cellStyle name="_입찰표지 _송학하수품의(설계넣고)_무안-광주2공구(협력)수정_용답동오피스텔가실행" xfId="3085" xr:uid="{00000000-0005-0000-0000-0000FD0B0000}"/>
    <cellStyle name="_입찰표지 _송학하수품의(설계넣고)_번암견적의뢰(협력)" xfId="3086" xr:uid="{00000000-0005-0000-0000-0000FE0B0000}"/>
    <cellStyle name="_입찰표지 _송학하수품의(설계넣고)_번암견적의뢰(협력)_구기동(제출)(95.0)(031121)" xfId="3087" xr:uid="{00000000-0005-0000-0000-0000FF0B0000}"/>
    <cellStyle name="_입찰표지 _송학하수품의(설계넣고)_번암견적의뢰(협력)_구기동레포츠센타제출" xfId="3088" xr:uid="{00000000-0005-0000-0000-0000000C0000}"/>
    <cellStyle name="_입찰표지 _송학하수품의(설계넣고)_번암견적의뢰(협력)_신천동주상복합신축공사" xfId="3089" xr:uid="{00000000-0005-0000-0000-0000010C0000}"/>
    <cellStyle name="_입찰표지 _송학하수품의(설계넣고)_번암견적의뢰(협력)_용답동오피스텔가실행" xfId="3090" xr:uid="{00000000-0005-0000-0000-0000020C0000}"/>
    <cellStyle name="_입찰표지 _송학하수품의(설계넣고)_신천동주상복합신축공사" xfId="3091" xr:uid="{00000000-0005-0000-0000-0000030C0000}"/>
    <cellStyle name="_입찰표지 _송학하수품의(설계넣고)_용답동오피스텔가실행" xfId="3092" xr:uid="{00000000-0005-0000-0000-0000040C0000}"/>
    <cellStyle name="_입찰표지 _송학하수품의(설계넣고)_적상무주IC도로(1공구)" xfId="3093" xr:uid="{00000000-0005-0000-0000-0000050C0000}"/>
    <cellStyle name="_입찰표지 _송학하수품의(설계넣고)_적상무주IC도로(1공구)_구기동(제출)(95.0)(031121)" xfId="3094" xr:uid="{00000000-0005-0000-0000-0000060C0000}"/>
    <cellStyle name="_입찰표지 _송학하수품의(설계넣고)_적상무주IC도로(1공구)_구기동레포츠센타제출" xfId="3095" xr:uid="{00000000-0005-0000-0000-0000070C0000}"/>
    <cellStyle name="_입찰표지 _송학하수품의(설계넣고)_적상무주IC도로(1공구)_신천동주상복합신축공사" xfId="3096" xr:uid="{00000000-0005-0000-0000-0000080C0000}"/>
    <cellStyle name="_입찰표지 _송학하수품의(설계넣고)_적상무주IC도로(1공구)_용답동오피스텔가실행" xfId="3097" xr:uid="{00000000-0005-0000-0000-0000090C0000}"/>
    <cellStyle name="_입찰표지 _수원-가실행" xfId="3098" xr:uid="{00000000-0005-0000-0000-00000A0C0000}"/>
    <cellStyle name="_입찰표지 _신령영천1_입찰" xfId="3099" xr:uid="{00000000-0005-0000-0000-00000B0C0000}"/>
    <cellStyle name="_입찰표지 _신령영천1_입찰_1. 가실행예산(0629 도면기준)" xfId="3100" xr:uid="{00000000-0005-0000-0000-00000C0C0000}"/>
    <cellStyle name="_입찰표지 _신령영천1_입찰_1. 가실행예산(0629 도면기준)_4.일신통신 가실행예산(재견적合)" xfId="3101" xr:uid="{00000000-0005-0000-0000-00000D0C0000}"/>
    <cellStyle name="_입찰표지 _신령영천1_입찰_1. 가실행예산(0629 도면기준)_을" xfId="3102" xr:uid="{00000000-0005-0000-0000-00000E0C0000}"/>
    <cellStyle name="_입찰표지 _신령영천1_입찰_1.본실행 - 조정(안)" xfId="3103" xr:uid="{00000000-0005-0000-0000-00000F0C0000}"/>
    <cellStyle name="_입찰표지 _신령영천1_입찰_1.본실행 - 조정(안)_4.일신통신 가실행예산(재견적合)" xfId="3104" xr:uid="{00000000-0005-0000-0000-0000100C0000}"/>
    <cellStyle name="_입찰표지 _신령영천1_입찰_1.본실행 - 조정(안)_을" xfId="3105" xr:uid="{00000000-0005-0000-0000-0000110C0000}"/>
    <cellStyle name="_입찰표지 _신령영천1_입찰_4.일신통신 가실행예산(재견적合)" xfId="3106" xr:uid="{00000000-0005-0000-0000-0000120C0000}"/>
    <cellStyle name="_입찰표지 _신령영천1_입찰_을" xfId="3107" xr:uid="{00000000-0005-0000-0000-0000130C0000}"/>
    <cellStyle name="_입찰표지 _신령영천1_입찰_총괄 내역서" xfId="3108" xr:uid="{00000000-0005-0000-0000-0000140C0000}"/>
    <cellStyle name="_입찰표지 _신령영천1_입찰_총괄 내역서_4.일신통신 가실행예산(재견적合)" xfId="3109" xr:uid="{00000000-0005-0000-0000-0000150C0000}"/>
    <cellStyle name="_입찰표지 _신령영천1_입찰_총괄 내역서_을" xfId="3110" xr:uid="{00000000-0005-0000-0000-0000160C0000}"/>
    <cellStyle name="_입찰표지 _신천동주상복합신축공사" xfId="3111" xr:uid="{00000000-0005-0000-0000-0000170C0000}"/>
    <cellStyle name="_입찰표지 _안양소사자동제어단가" xfId="3112" xr:uid="{00000000-0005-0000-0000-0000180C0000}"/>
    <cellStyle name="_입찰표지 _안양소사자동제어단가_견적서양식" xfId="3113" xr:uid="{00000000-0005-0000-0000-0000190C0000}"/>
    <cellStyle name="_입찰표지 _용답동오피스텔가실행" xfId="3114" xr:uid="{00000000-0005-0000-0000-00001A0C0000}"/>
    <cellStyle name="_입찰표지 _을" xfId="3115" xr:uid="{00000000-0005-0000-0000-00001B0C0000}"/>
    <cellStyle name="_입찰표지 _적상무주IC도로(1공구)" xfId="3116" xr:uid="{00000000-0005-0000-0000-00001C0C0000}"/>
    <cellStyle name="_입찰표지 _적상무주IC도로(1공구)_구기동(제출)(95.0)(031121)" xfId="3117" xr:uid="{00000000-0005-0000-0000-00001D0C0000}"/>
    <cellStyle name="_입찰표지 _적상무주IC도로(1공구)_구기동레포츠센타제출" xfId="3118" xr:uid="{00000000-0005-0000-0000-00001E0C0000}"/>
    <cellStyle name="_입찰표지 _적상무주IC도로(1공구)_신천동주상복합신축공사" xfId="3119" xr:uid="{00000000-0005-0000-0000-00001F0C0000}"/>
    <cellStyle name="_입찰표지 _적상무주IC도로(1공구)_용답동오피스텔가실행" xfId="3120" xr:uid="{00000000-0005-0000-0000-0000200C0000}"/>
    <cellStyle name="_입찰표지 _총괄 내역서" xfId="3121" xr:uid="{00000000-0005-0000-0000-0000210C0000}"/>
    <cellStyle name="_입찰표지 _총괄 내역서_4.일신통신 가실행예산(재견적合)" xfId="3122" xr:uid="{00000000-0005-0000-0000-0000220C0000}"/>
    <cellStyle name="_입찰표지 _총괄 내역서_을" xfId="3123" xr:uid="{00000000-0005-0000-0000-0000230C0000}"/>
    <cellStyle name="_입찰표지 _투찰(안덕대정)" xfId="3124" xr:uid="{00000000-0005-0000-0000-0000240C0000}"/>
    <cellStyle name="_입찰표지 _투찰(안덕대정)_1. 가실행예산(0629 도면기준)" xfId="3125" xr:uid="{00000000-0005-0000-0000-0000250C0000}"/>
    <cellStyle name="_입찰표지 _투찰(안덕대정)_1. 가실행예산(0629 도면기준)_4.일신통신 가실행예산(재견적合)" xfId="3126" xr:uid="{00000000-0005-0000-0000-0000260C0000}"/>
    <cellStyle name="_입찰표지 _투찰(안덕대정)_1. 가실행예산(0629 도면기준)_을" xfId="3127" xr:uid="{00000000-0005-0000-0000-0000270C0000}"/>
    <cellStyle name="_입찰표지 _투찰(안덕대정)_1.본실행 - 조정(안)" xfId="3128" xr:uid="{00000000-0005-0000-0000-0000280C0000}"/>
    <cellStyle name="_입찰표지 _투찰(안덕대정)_1.본실행 - 조정(안)_4.일신통신 가실행예산(재견적合)" xfId="3129" xr:uid="{00000000-0005-0000-0000-0000290C0000}"/>
    <cellStyle name="_입찰표지 _투찰(안덕대정)_1.본실행 - 조정(안)_을" xfId="3130" xr:uid="{00000000-0005-0000-0000-00002A0C0000}"/>
    <cellStyle name="_입찰표지 _투찰(안덕대정)_4.일신통신 가실행예산(재견적合)" xfId="3131" xr:uid="{00000000-0005-0000-0000-00002B0C0000}"/>
    <cellStyle name="_입찰표지 _투찰(안덕대정)_을" xfId="3132" xr:uid="{00000000-0005-0000-0000-00002C0C0000}"/>
    <cellStyle name="_입찰표지 _투찰(안덕대정)_총괄 내역서" xfId="3133" xr:uid="{00000000-0005-0000-0000-00002D0C0000}"/>
    <cellStyle name="_입찰표지 _투찰(안덕대정)_총괄 내역서_4.일신통신 가실행예산(재견적合)" xfId="3134" xr:uid="{00000000-0005-0000-0000-00002E0C0000}"/>
    <cellStyle name="_입찰표지 _투찰(안덕대정)_총괄 내역서_을" xfId="3135" xr:uid="{00000000-0005-0000-0000-00002F0C0000}"/>
    <cellStyle name="_입찰표지 _투찰(안덕대정)_투찰_대둔산" xfId="3136" xr:uid="{00000000-0005-0000-0000-0000300C0000}"/>
    <cellStyle name="_입찰표지 _투찰(안덕대정)_투찰_대둔산_1. 가실행예산(0629 도면기준)" xfId="3137" xr:uid="{00000000-0005-0000-0000-0000310C0000}"/>
    <cellStyle name="_입찰표지 _투찰(안덕대정)_투찰_대둔산_1. 가실행예산(0629 도면기준)_4.일신통신 가실행예산(재견적合)" xfId="3138" xr:uid="{00000000-0005-0000-0000-0000320C0000}"/>
    <cellStyle name="_입찰표지 _투찰(안덕대정)_투찰_대둔산_1. 가실행예산(0629 도면기준)_을" xfId="3139" xr:uid="{00000000-0005-0000-0000-0000330C0000}"/>
    <cellStyle name="_입찰표지 _투찰(안덕대정)_투찰_대둔산_1.본실행 - 조정(안)" xfId="3140" xr:uid="{00000000-0005-0000-0000-0000340C0000}"/>
    <cellStyle name="_입찰표지 _투찰(안덕대정)_투찰_대둔산_1.본실행 - 조정(안)_4.일신통신 가실행예산(재견적合)" xfId="3141" xr:uid="{00000000-0005-0000-0000-0000350C0000}"/>
    <cellStyle name="_입찰표지 _투찰(안덕대정)_투찰_대둔산_1.본실행 - 조정(안)_을" xfId="3142" xr:uid="{00000000-0005-0000-0000-0000360C0000}"/>
    <cellStyle name="_입찰표지 _투찰(안덕대정)_투찰_대둔산_4.일신통신 가실행예산(재견적合)" xfId="3143" xr:uid="{00000000-0005-0000-0000-0000370C0000}"/>
    <cellStyle name="_입찰표지 _투찰(안덕대정)_투찰_대둔산_을" xfId="3144" xr:uid="{00000000-0005-0000-0000-0000380C0000}"/>
    <cellStyle name="_입찰표지 _투찰(안덕대정)_투찰_대둔산_총괄 내역서" xfId="3145" xr:uid="{00000000-0005-0000-0000-0000390C0000}"/>
    <cellStyle name="_입찰표지 _투찰(안덕대정)_투찰_대둔산_총괄 내역서_4.일신통신 가실행예산(재견적合)" xfId="3146" xr:uid="{00000000-0005-0000-0000-00003A0C0000}"/>
    <cellStyle name="_입찰표지 _투찰(안덕대정)_투찰_대둔산_총괄 내역서_을" xfId="3147" xr:uid="{00000000-0005-0000-0000-00003B0C0000}"/>
    <cellStyle name="_입찰표지 _투찰(안덕대정)1" xfId="3148" xr:uid="{00000000-0005-0000-0000-00003C0C0000}"/>
    <cellStyle name="_입찰표지 _투찰(안덕대정)1_1. 가실행예산(0629 도면기준)" xfId="3149" xr:uid="{00000000-0005-0000-0000-00003D0C0000}"/>
    <cellStyle name="_입찰표지 _투찰(안덕대정)1_1. 가실행예산(0629 도면기준)_4.일신통신 가실행예산(재견적合)" xfId="3150" xr:uid="{00000000-0005-0000-0000-00003E0C0000}"/>
    <cellStyle name="_입찰표지 _투찰(안덕대정)1_1. 가실행예산(0629 도면기준)_을" xfId="3151" xr:uid="{00000000-0005-0000-0000-00003F0C0000}"/>
    <cellStyle name="_입찰표지 _투찰(안덕대정)1_1.본실행 - 조정(안)" xfId="3152" xr:uid="{00000000-0005-0000-0000-0000400C0000}"/>
    <cellStyle name="_입찰표지 _투찰(안덕대정)1_1.본실행 - 조정(안)_4.일신통신 가실행예산(재견적合)" xfId="3153" xr:uid="{00000000-0005-0000-0000-0000410C0000}"/>
    <cellStyle name="_입찰표지 _투찰(안덕대정)1_1.본실행 - 조정(안)_을" xfId="3154" xr:uid="{00000000-0005-0000-0000-0000420C0000}"/>
    <cellStyle name="_입찰표지 _투찰(안덕대정)1_4.일신통신 가실행예산(재견적合)" xfId="3155" xr:uid="{00000000-0005-0000-0000-0000430C0000}"/>
    <cellStyle name="_입찰표지 _투찰(안덕대정)1_을" xfId="3156" xr:uid="{00000000-0005-0000-0000-0000440C0000}"/>
    <cellStyle name="_입찰표지 _투찰(안덕대정)1_총괄 내역서" xfId="3157" xr:uid="{00000000-0005-0000-0000-0000450C0000}"/>
    <cellStyle name="_입찰표지 _투찰(안덕대정)1_총괄 내역서_4.일신통신 가실행예산(재견적合)" xfId="3158" xr:uid="{00000000-0005-0000-0000-0000460C0000}"/>
    <cellStyle name="_입찰표지 _투찰(안덕대정)1_총괄 내역서_을" xfId="3159" xr:uid="{00000000-0005-0000-0000-0000470C0000}"/>
    <cellStyle name="_입찰표지 _투찰(안덕대정)1_투찰_대둔산" xfId="3160" xr:uid="{00000000-0005-0000-0000-0000480C0000}"/>
    <cellStyle name="_입찰표지 _투찰(안덕대정)1_투찰_대둔산_1. 가실행예산(0629 도면기준)" xfId="3161" xr:uid="{00000000-0005-0000-0000-0000490C0000}"/>
    <cellStyle name="_입찰표지 _투찰(안덕대정)1_투찰_대둔산_1. 가실행예산(0629 도면기준)_4.일신통신 가실행예산(재견적合)" xfId="3162" xr:uid="{00000000-0005-0000-0000-00004A0C0000}"/>
    <cellStyle name="_입찰표지 _투찰(안덕대정)1_투찰_대둔산_1. 가실행예산(0629 도면기준)_을" xfId="3163" xr:uid="{00000000-0005-0000-0000-00004B0C0000}"/>
    <cellStyle name="_입찰표지 _투찰(안덕대정)1_투찰_대둔산_1.본실행 - 조정(안)" xfId="3164" xr:uid="{00000000-0005-0000-0000-00004C0C0000}"/>
    <cellStyle name="_입찰표지 _투찰(안덕대정)1_투찰_대둔산_1.본실행 - 조정(안)_4.일신통신 가실행예산(재견적合)" xfId="3165" xr:uid="{00000000-0005-0000-0000-00004D0C0000}"/>
    <cellStyle name="_입찰표지 _투찰(안덕대정)1_투찰_대둔산_1.본실행 - 조정(안)_을" xfId="3166" xr:uid="{00000000-0005-0000-0000-00004E0C0000}"/>
    <cellStyle name="_입찰표지 _투찰(안덕대정)1_투찰_대둔산_4.일신통신 가실행예산(재견적合)" xfId="3167" xr:uid="{00000000-0005-0000-0000-00004F0C0000}"/>
    <cellStyle name="_입찰표지 _투찰(안덕대정)1_투찰_대둔산_을" xfId="3168" xr:uid="{00000000-0005-0000-0000-0000500C0000}"/>
    <cellStyle name="_입찰표지 _투찰(안덕대정)1_투찰_대둔산_총괄 내역서" xfId="3169" xr:uid="{00000000-0005-0000-0000-0000510C0000}"/>
    <cellStyle name="_입찰표지 _투찰(안덕대정)1_투찰_대둔산_총괄 내역서_4.일신통신 가실행예산(재견적合)" xfId="3170" xr:uid="{00000000-0005-0000-0000-0000520C0000}"/>
    <cellStyle name="_입찰표지 _투찰(안덕대정)1_투찰_대둔산_총괄 내역서_을" xfId="3171" xr:uid="{00000000-0005-0000-0000-0000530C0000}"/>
    <cellStyle name="_입찰표지 _투찰_대둔산" xfId="3172" xr:uid="{00000000-0005-0000-0000-0000540C0000}"/>
    <cellStyle name="_입찰표지 _투찰_대둔산_1. 가실행예산(0629 도면기준)" xfId="3173" xr:uid="{00000000-0005-0000-0000-0000550C0000}"/>
    <cellStyle name="_입찰표지 _투찰_대둔산_1. 가실행예산(0629 도면기준)_4.일신통신 가실행예산(재견적合)" xfId="3174" xr:uid="{00000000-0005-0000-0000-0000560C0000}"/>
    <cellStyle name="_입찰표지 _투찰_대둔산_1. 가실행예산(0629 도면기준)_을" xfId="3175" xr:uid="{00000000-0005-0000-0000-0000570C0000}"/>
    <cellStyle name="_입찰표지 _투찰_대둔산_1.본실행 - 조정(안)" xfId="3176" xr:uid="{00000000-0005-0000-0000-0000580C0000}"/>
    <cellStyle name="_입찰표지 _투찰_대둔산_1.본실행 - 조정(안)_4.일신통신 가실행예산(재견적合)" xfId="3177" xr:uid="{00000000-0005-0000-0000-0000590C0000}"/>
    <cellStyle name="_입찰표지 _투찰_대둔산_1.본실행 - 조정(안)_을" xfId="3178" xr:uid="{00000000-0005-0000-0000-00005A0C0000}"/>
    <cellStyle name="_입찰표지 _투찰_대둔산_4.일신통신 가실행예산(재견적合)" xfId="3179" xr:uid="{00000000-0005-0000-0000-00005B0C0000}"/>
    <cellStyle name="_입찰표지 _투찰_대둔산_을" xfId="3180" xr:uid="{00000000-0005-0000-0000-00005C0C0000}"/>
    <cellStyle name="_입찰표지 _투찰_대둔산_총괄 내역서" xfId="3181" xr:uid="{00000000-0005-0000-0000-00005D0C0000}"/>
    <cellStyle name="_입찰표지 _투찰_대둔산_총괄 내역서_4.일신통신 가실행예산(재견적合)" xfId="3182" xr:uid="{00000000-0005-0000-0000-00005E0C0000}"/>
    <cellStyle name="_입찰표지 _투찰_대둔산_총괄 내역서_을" xfId="3183" xr:uid="{00000000-0005-0000-0000-00005F0C0000}"/>
    <cellStyle name="_입찰표지 _투찰내역" xfId="3184" xr:uid="{00000000-0005-0000-0000-0000600C0000}"/>
    <cellStyle name="_입찰표지 _투찰내역_1. 가실행예산(0629 도면기준)" xfId="3185" xr:uid="{00000000-0005-0000-0000-0000610C0000}"/>
    <cellStyle name="_입찰표지 _투찰내역_1. 가실행예산(0629 도면기준)_4.일신통신 가실행예산(재견적合)" xfId="3186" xr:uid="{00000000-0005-0000-0000-0000620C0000}"/>
    <cellStyle name="_입찰표지 _투찰내역_1. 가실행예산(0629 도면기준)_을" xfId="3187" xr:uid="{00000000-0005-0000-0000-0000630C0000}"/>
    <cellStyle name="_입찰표지 _투찰내역_1.본실행 - 조정(안)" xfId="3188" xr:uid="{00000000-0005-0000-0000-0000640C0000}"/>
    <cellStyle name="_입찰표지 _투찰내역_1.본실행 - 조정(안)_4.일신통신 가실행예산(재견적合)" xfId="3189" xr:uid="{00000000-0005-0000-0000-0000650C0000}"/>
    <cellStyle name="_입찰표지 _투찰내역_1.본실행 - 조정(안)_을" xfId="3190" xr:uid="{00000000-0005-0000-0000-0000660C0000}"/>
    <cellStyle name="_입찰표지 _투찰내역_4.일신통신 가실행예산(재견적合)" xfId="3191" xr:uid="{00000000-0005-0000-0000-0000670C0000}"/>
    <cellStyle name="_입찰표지 _투찰내역_을" xfId="3192" xr:uid="{00000000-0005-0000-0000-0000680C0000}"/>
    <cellStyle name="_입찰표지 _투찰내역_총괄 내역서" xfId="3193" xr:uid="{00000000-0005-0000-0000-0000690C0000}"/>
    <cellStyle name="_입찰표지 _투찰내역_총괄 내역서_4.일신통신 가실행예산(재견적合)" xfId="3194" xr:uid="{00000000-0005-0000-0000-00006A0C0000}"/>
    <cellStyle name="_입찰표지 _투찰내역_총괄 내역서_을" xfId="3195" xr:uid="{00000000-0005-0000-0000-00006B0C0000}"/>
    <cellStyle name="_입찰표지 _호남권투찰1" xfId="3196" xr:uid="{00000000-0005-0000-0000-00006C0C0000}"/>
    <cellStyle name="_입찰표지 _호남권투찰1_1. 가실행예산(0629 도면기준)" xfId="3197" xr:uid="{00000000-0005-0000-0000-00006D0C0000}"/>
    <cellStyle name="_입찰표지 _호남권투찰1_1. 가실행예산(0629 도면기준)_4.일신통신 가실행예산(재견적合)" xfId="3198" xr:uid="{00000000-0005-0000-0000-00006E0C0000}"/>
    <cellStyle name="_입찰표지 _호남권투찰1_1. 가실행예산(0629 도면기준)_을" xfId="3199" xr:uid="{00000000-0005-0000-0000-00006F0C0000}"/>
    <cellStyle name="_입찰표지 _호남권투찰1_1.본실행 - 조정(안)" xfId="3200" xr:uid="{00000000-0005-0000-0000-0000700C0000}"/>
    <cellStyle name="_입찰표지 _호남권투찰1_1.본실행 - 조정(안)_4.일신통신 가실행예산(재견적合)" xfId="3201" xr:uid="{00000000-0005-0000-0000-0000710C0000}"/>
    <cellStyle name="_입찰표지 _호남권투찰1_1.본실행 - 조정(안)_을" xfId="3202" xr:uid="{00000000-0005-0000-0000-0000720C0000}"/>
    <cellStyle name="_입찰표지 _호남권투찰1_4.일신통신 가실행예산(재견적合)" xfId="3203" xr:uid="{00000000-0005-0000-0000-0000730C0000}"/>
    <cellStyle name="_입찰표지 _호남권투찰1_을" xfId="3204" xr:uid="{00000000-0005-0000-0000-0000740C0000}"/>
    <cellStyle name="_입찰표지 _호남권투찰1_총괄 내역서" xfId="3205" xr:uid="{00000000-0005-0000-0000-0000750C0000}"/>
    <cellStyle name="_입찰표지 _호남권투찰1_총괄 내역서_4.일신통신 가실행예산(재견적合)" xfId="3206" xr:uid="{00000000-0005-0000-0000-0000760C0000}"/>
    <cellStyle name="_입찰표지 _호남권투찰1_총괄 내역서_을" xfId="3207" xr:uid="{00000000-0005-0000-0000-0000770C0000}"/>
    <cellStyle name="_자동문사진" xfId="3208" xr:uid="{00000000-0005-0000-0000-0000780C0000}"/>
    <cellStyle name="_자료01-공통가설" xfId="3209" xr:uid="{00000000-0005-0000-0000-0000790C0000}"/>
    <cellStyle name="_자료03-대안수량조정실행대비표" xfId="3210" xr:uid="{00000000-0005-0000-0000-00007A0C0000}"/>
    <cellStyle name="_자료06-토목공사" xfId="3211" xr:uid="{00000000-0005-0000-0000-00007B0C0000}"/>
    <cellStyle name="_자은동아파트(견적)" xfId="3212" xr:uid="{00000000-0005-0000-0000-00007C0C0000}"/>
    <cellStyle name="_자재양식" xfId="3213" xr:uid="{00000000-0005-0000-0000-00007D0C0000}"/>
    <cellStyle name="_작업01-조경공사0709" xfId="3214" xr:uid="{00000000-0005-0000-0000-00007E0C0000}"/>
    <cellStyle name="_작업내역(전기,통신)" xfId="3215" xr:uid="{00000000-0005-0000-0000-00007F0C0000}"/>
    <cellStyle name="_잠실점약전내역" xfId="3216" xr:uid="{00000000-0005-0000-0000-0000800C0000}"/>
    <cellStyle name="_장지도급(공종분개)-결재용" xfId="3217" xr:uid="{00000000-0005-0000-0000-0000810C0000}"/>
    <cellStyle name="_재송동아파트변경가실행예산(0726)" xfId="3218" xr:uid="{00000000-0005-0000-0000-0000820C0000}"/>
    <cellStyle name="_적격 " xfId="3219" xr:uid="{00000000-0005-0000-0000-0000830C0000}"/>
    <cellStyle name="_적격 _04028적산수량집계" xfId="3220" xr:uid="{00000000-0005-0000-0000-0000840C0000}"/>
    <cellStyle name="_적격 _04-가실행(작업중)" xfId="3221" xr:uid="{00000000-0005-0000-0000-0000850C0000}"/>
    <cellStyle name="_적격 _04-가실행(작업중1)" xfId="3222" xr:uid="{00000000-0005-0000-0000-0000860C0000}"/>
    <cellStyle name="_적격 _KT견적요청" xfId="3223" xr:uid="{00000000-0005-0000-0000-0000870C0000}"/>
    <cellStyle name="_적격 _가실행" xfId="3224" xr:uid="{00000000-0005-0000-0000-0000880C0000}"/>
    <cellStyle name="_적격 _견적서양식" xfId="3225" xr:uid="{00000000-0005-0000-0000-0000890C0000}"/>
    <cellStyle name="_적격 _광주평동실행" xfId="3226" xr:uid="{00000000-0005-0000-0000-00008A0C0000}"/>
    <cellStyle name="_적격 _광주평동실행_구기동(제출)(95.0)(031121)" xfId="3227" xr:uid="{00000000-0005-0000-0000-00008B0C0000}"/>
    <cellStyle name="_적격 _광주평동실행_구기동레포츠센타제출" xfId="3228" xr:uid="{00000000-0005-0000-0000-00008C0C0000}"/>
    <cellStyle name="_적격 _광주평동실행_번암견적의뢰(협력)" xfId="3229" xr:uid="{00000000-0005-0000-0000-00008D0C0000}"/>
    <cellStyle name="_적격 _광주평동실행_번암견적의뢰(협력)_구기동(제출)(95.0)(031121)" xfId="3230" xr:uid="{00000000-0005-0000-0000-00008E0C0000}"/>
    <cellStyle name="_적격 _광주평동실행_번암견적의뢰(협력)_구기동레포츠센타제출" xfId="3231" xr:uid="{00000000-0005-0000-0000-00008F0C0000}"/>
    <cellStyle name="_적격 _광주평동실행_번암견적의뢰(협력)_신천동주상복합신축공사" xfId="3232" xr:uid="{00000000-0005-0000-0000-0000900C0000}"/>
    <cellStyle name="_적격 _광주평동실행_번암견적의뢰(협력)_용답동오피스텔가실행" xfId="3233" xr:uid="{00000000-0005-0000-0000-0000910C0000}"/>
    <cellStyle name="_적격 _광주평동실행_신천동주상복합신축공사" xfId="3234" xr:uid="{00000000-0005-0000-0000-0000920C0000}"/>
    <cellStyle name="_적격 _광주평동실행_용답동오피스텔가실행" xfId="3235" xr:uid="{00000000-0005-0000-0000-0000930C0000}"/>
    <cellStyle name="_적격 _광주평동품의1" xfId="3236" xr:uid="{00000000-0005-0000-0000-0000940C0000}"/>
    <cellStyle name="_적격 _광주평동품의1_구기동(제출)(95.0)(031121)" xfId="3237" xr:uid="{00000000-0005-0000-0000-0000950C0000}"/>
    <cellStyle name="_적격 _광주평동품의1_구기동레포츠센타제출" xfId="3238" xr:uid="{00000000-0005-0000-0000-0000960C0000}"/>
    <cellStyle name="_적격 _광주평동품의1_무안-광주2공구(협력)수정" xfId="3239" xr:uid="{00000000-0005-0000-0000-0000970C0000}"/>
    <cellStyle name="_적격 _광주평동품의1_무안-광주2공구(협력)수정_구기동(제출)(95.0)(031121)" xfId="3240" xr:uid="{00000000-0005-0000-0000-0000980C0000}"/>
    <cellStyle name="_적격 _광주평동품의1_무안-광주2공구(협력)수정_구기동레포츠센타제출" xfId="3241" xr:uid="{00000000-0005-0000-0000-0000990C0000}"/>
    <cellStyle name="_적격 _광주평동품의1_무안-광주2공구(협력)수정_신천동주상복합신축공사" xfId="3242" xr:uid="{00000000-0005-0000-0000-00009A0C0000}"/>
    <cellStyle name="_적격 _광주평동품의1_무안-광주2공구(협력)수정_용답동오피스텔가실행" xfId="3243" xr:uid="{00000000-0005-0000-0000-00009B0C0000}"/>
    <cellStyle name="_적격 _광주평동품의1_번암견적의뢰(협력)" xfId="3244" xr:uid="{00000000-0005-0000-0000-00009C0C0000}"/>
    <cellStyle name="_적격 _광주평동품의1_번암견적의뢰(협력)_구기동(제출)(95.0)(031121)" xfId="3245" xr:uid="{00000000-0005-0000-0000-00009D0C0000}"/>
    <cellStyle name="_적격 _광주평동품의1_번암견적의뢰(협력)_구기동레포츠센타제출" xfId="3246" xr:uid="{00000000-0005-0000-0000-00009E0C0000}"/>
    <cellStyle name="_적격 _광주평동품의1_번암견적의뢰(협력)_신천동주상복합신축공사" xfId="3247" xr:uid="{00000000-0005-0000-0000-00009F0C0000}"/>
    <cellStyle name="_적격 _광주평동품의1_번암견적의뢰(협력)_용답동오피스텔가실행" xfId="3248" xr:uid="{00000000-0005-0000-0000-0000A00C0000}"/>
    <cellStyle name="_적격 _광주평동품의1_신천동주상복합신축공사" xfId="3249" xr:uid="{00000000-0005-0000-0000-0000A10C0000}"/>
    <cellStyle name="_적격 _광주평동품의1_용답동오피스텔가실행" xfId="3250" xr:uid="{00000000-0005-0000-0000-0000A20C0000}"/>
    <cellStyle name="_적격 _광주평동품의1_적상무주IC도로(1공구)" xfId="3251" xr:uid="{00000000-0005-0000-0000-0000A30C0000}"/>
    <cellStyle name="_적격 _광주평동품의1_적상무주IC도로(1공구)_구기동(제출)(95.0)(031121)" xfId="3252" xr:uid="{00000000-0005-0000-0000-0000A40C0000}"/>
    <cellStyle name="_적격 _광주평동품의1_적상무주IC도로(1공구)_구기동레포츠센타제출" xfId="3253" xr:uid="{00000000-0005-0000-0000-0000A50C0000}"/>
    <cellStyle name="_적격 _광주평동품의1_적상무주IC도로(1공구)_신천동주상복합신축공사" xfId="3254" xr:uid="{00000000-0005-0000-0000-0000A60C0000}"/>
    <cellStyle name="_적격 _광주평동품의1_적상무주IC도로(1공구)_용답동오피스텔가실행" xfId="3255" xr:uid="{00000000-0005-0000-0000-0000A70C0000}"/>
    <cellStyle name="_적격 _구기동(제출)(95.0)(031121)" xfId="3256" xr:uid="{00000000-0005-0000-0000-0000A80C0000}"/>
    <cellStyle name="_적격 _구기동레포츠센타제출" xfId="3257" xr:uid="{00000000-0005-0000-0000-0000A90C0000}"/>
    <cellStyle name="_적격 _기장하수실행1" xfId="3258" xr:uid="{00000000-0005-0000-0000-0000AA0C0000}"/>
    <cellStyle name="_적격 _기장하수실행1_구기동(제출)(95.0)(031121)" xfId="3259" xr:uid="{00000000-0005-0000-0000-0000AB0C0000}"/>
    <cellStyle name="_적격 _기장하수실행1_구기동레포츠센타제출" xfId="3260" xr:uid="{00000000-0005-0000-0000-0000AC0C0000}"/>
    <cellStyle name="_적격 _기장하수실행1_번암견적의뢰(협력)" xfId="3261" xr:uid="{00000000-0005-0000-0000-0000AD0C0000}"/>
    <cellStyle name="_적격 _기장하수실행1_번암견적의뢰(협력)_구기동(제출)(95.0)(031121)" xfId="3262" xr:uid="{00000000-0005-0000-0000-0000AE0C0000}"/>
    <cellStyle name="_적격 _기장하수실행1_번암견적의뢰(협력)_구기동레포츠센타제출" xfId="3263" xr:uid="{00000000-0005-0000-0000-0000AF0C0000}"/>
    <cellStyle name="_적격 _기장하수실행1_번암견적의뢰(협력)_신천동주상복합신축공사" xfId="3264" xr:uid="{00000000-0005-0000-0000-0000B00C0000}"/>
    <cellStyle name="_적격 _기장하수실행1_번암견적의뢰(협력)_용답동오피스텔가실행" xfId="3265" xr:uid="{00000000-0005-0000-0000-0000B10C0000}"/>
    <cellStyle name="_적격 _기장하수실행1_신천동주상복합신축공사" xfId="3266" xr:uid="{00000000-0005-0000-0000-0000B20C0000}"/>
    <cellStyle name="_적격 _기장하수실행1_용답동오피스텔가실행" xfId="3267" xr:uid="{00000000-0005-0000-0000-0000B30C0000}"/>
    <cellStyle name="_적격 _노원문화회관전기" xfId="3268" xr:uid="{00000000-0005-0000-0000-0000B40C0000}"/>
    <cellStyle name="_적격 _노원문화회관전기_견적서양식" xfId="3269" xr:uid="{00000000-0005-0000-0000-0000B50C0000}"/>
    <cellStyle name="_적격 _노원문화회관전기_소사안양도시가스견적단가" xfId="3270" xr:uid="{00000000-0005-0000-0000-0000B60C0000}"/>
    <cellStyle name="_적격 _노원문화회관전기_소사안양도시가스견적단가_견적서양식" xfId="3271" xr:uid="{00000000-0005-0000-0000-0000B70C0000}"/>
    <cellStyle name="_적격 _노원문화회관전기_안양소사자동제어단가" xfId="3272" xr:uid="{00000000-0005-0000-0000-0000B80C0000}"/>
    <cellStyle name="_적격 _노원문화회관전기_안양소사자동제어단가_견적서양식" xfId="3273" xr:uid="{00000000-0005-0000-0000-0000B90C0000}"/>
    <cellStyle name="_적격 _무안-광주2공구(협력)수정" xfId="3274" xr:uid="{00000000-0005-0000-0000-0000BA0C0000}"/>
    <cellStyle name="_적격 _무안-광주2공구(협력)수정_구기동(제출)(95.0)(031121)" xfId="3275" xr:uid="{00000000-0005-0000-0000-0000BB0C0000}"/>
    <cellStyle name="_적격 _무안-광주2공구(협력)수정_구기동레포츠센타제출" xfId="3276" xr:uid="{00000000-0005-0000-0000-0000BC0C0000}"/>
    <cellStyle name="_적격 _무안-광주2공구(협력)수정_신천동주상복합신축공사" xfId="3277" xr:uid="{00000000-0005-0000-0000-0000BD0C0000}"/>
    <cellStyle name="_적격 _무안-광주2공구(협력)수정_용답동오피스텔가실행" xfId="3278" xr:uid="{00000000-0005-0000-0000-0000BE0C0000}"/>
    <cellStyle name="_적격 _번암견적의뢰(협력)" xfId="3279" xr:uid="{00000000-0005-0000-0000-0000BF0C0000}"/>
    <cellStyle name="_적격 _번암견적의뢰(협력)_구기동(제출)(95.0)(031121)" xfId="3280" xr:uid="{00000000-0005-0000-0000-0000C00C0000}"/>
    <cellStyle name="_적격 _번암견적의뢰(협력)_구기동레포츠센타제출" xfId="3281" xr:uid="{00000000-0005-0000-0000-0000C10C0000}"/>
    <cellStyle name="_적격 _번암견적의뢰(협력)_신천동주상복합신축공사" xfId="3282" xr:uid="{00000000-0005-0000-0000-0000C20C0000}"/>
    <cellStyle name="_적격 _번암견적의뢰(협력)_용답동오피스텔가실행" xfId="3283" xr:uid="{00000000-0005-0000-0000-0000C30C0000}"/>
    <cellStyle name="_적격 _소사안양도시가스견적단가" xfId="3284" xr:uid="{00000000-0005-0000-0000-0000C40C0000}"/>
    <cellStyle name="_적격 _소사안양도시가스견적단가_견적서양식" xfId="3285" xr:uid="{00000000-0005-0000-0000-0000C50C0000}"/>
    <cellStyle name="_적격 _송학실행안" xfId="3286" xr:uid="{00000000-0005-0000-0000-0000C60C0000}"/>
    <cellStyle name="_적격 _송학실행안_구기동(제출)(95.0)(031121)" xfId="3287" xr:uid="{00000000-0005-0000-0000-0000C70C0000}"/>
    <cellStyle name="_적격 _송학실행안_구기동레포츠센타제출" xfId="3288" xr:uid="{00000000-0005-0000-0000-0000C80C0000}"/>
    <cellStyle name="_적격 _송학실행안_번암견적의뢰(협력)" xfId="3289" xr:uid="{00000000-0005-0000-0000-0000C90C0000}"/>
    <cellStyle name="_적격 _송학실행안_번암견적의뢰(협력)_구기동(제출)(95.0)(031121)" xfId="3290" xr:uid="{00000000-0005-0000-0000-0000CA0C0000}"/>
    <cellStyle name="_적격 _송학실행안_번암견적의뢰(협력)_구기동레포츠센타제출" xfId="3291" xr:uid="{00000000-0005-0000-0000-0000CB0C0000}"/>
    <cellStyle name="_적격 _송학실행안_번암견적의뢰(협력)_신천동주상복합신축공사" xfId="3292" xr:uid="{00000000-0005-0000-0000-0000CC0C0000}"/>
    <cellStyle name="_적격 _송학실행안_번암견적의뢰(협력)_용답동오피스텔가실행" xfId="3293" xr:uid="{00000000-0005-0000-0000-0000CD0C0000}"/>
    <cellStyle name="_적격 _송학실행안_신천동주상복합신축공사" xfId="3294" xr:uid="{00000000-0005-0000-0000-0000CE0C0000}"/>
    <cellStyle name="_적격 _송학실행안_용답동오피스텔가실행" xfId="3295" xr:uid="{00000000-0005-0000-0000-0000CF0C0000}"/>
    <cellStyle name="_적격 _송학하수투찰" xfId="3296" xr:uid="{00000000-0005-0000-0000-0000D00C0000}"/>
    <cellStyle name="_적격 _송학하수투찰_구기동(제출)(95.0)(031121)" xfId="3297" xr:uid="{00000000-0005-0000-0000-0000D10C0000}"/>
    <cellStyle name="_적격 _송학하수투찰_구기동레포츠센타제출" xfId="3298" xr:uid="{00000000-0005-0000-0000-0000D20C0000}"/>
    <cellStyle name="_적격 _송학하수투찰_번암견적의뢰(협력)" xfId="3299" xr:uid="{00000000-0005-0000-0000-0000D30C0000}"/>
    <cellStyle name="_적격 _송학하수투찰_번암견적의뢰(협력)_구기동(제출)(95.0)(031121)" xfId="3300" xr:uid="{00000000-0005-0000-0000-0000D40C0000}"/>
    <cellStyle name="_적격 _송학하수투찰_번암견적의뢰(협력)_구기동레포츠센타제출" xfId="3301" xr:uid="{00000000-0005-0000-0000-0000D50C0000}"/>
    <cellStyle name="_적격 _송학하수투찰_번암견적의뢰(협력)_신천동주상복합신축공사" xfId="3302" xr:uid="{00000000-0005-0000-0000-0000D60C0000}"/>
    <cellStyle name="_적격 _송학하수투찰_번암견적의뢰(협력)_용답동오피스텔가실행" xfId="3303" xr:uid="{00000000-0005-0000-0000-0000D70C0000}"/>
    <cellStyle name="_적격 _송학하수투찰_신천동주상복합신축공사" xfId="3304" xr:uid="{00000000-0005-0000-0000-0000D80C0000}"/>
    <cellStyle name="_적격 _송학하수투찰_용답동오피스텔가실행" xfId="3305" xr:uid="{00000000-0005-0000-0000-0000D90C0000}"/>
    <cellStyle name="_적격 _송학하수품의(설계넣고)" xfId="3306" xr:uid="{00000000-0005-0000-0000-0000DA0C0000}"/>
    <cellStyle name="_적격 _송학하수품의(설계넣고)_구기동(제출)(95.0)(031121)" xfId="3307" xr:uid="{00000000-0005-0000-0000-0000DB0C0000}"/>
    <cellStyle name="_적격 _송학하수품의(설계넣고)_구기동레포츠센타제출" xfId="3308" xr:uid="{00000000-0005-0000-0000-0000DC0C0000}"/>
    <cellStyle name="_적격 _송학하수품의(설계넣고)_무안-광주2공구(협력)수정" xfId="3309" xr:uid="{00000000-0005-0000-0000-0000DD0C0000}"/>
    <cellStyle name="_적격 _송학하수품의(설계넣고)_무안-광주2공구(협력)수정_구기동(제출)(95.0)(031121)" xfId="3310" xr:uid="{00000000-0005-0000-0000-0000DE0C0000}"/>
    <cellStyle name="_적격 _송학하수품의(설계넣고)_무안-광주2공구(협력)수정_구기동레포츠센타제출" xfId="3311" xr:uid="{00000000-0005-0000-0000-0000DF0C0000}"/>
    <cellStyle name="_적격 _송학하수품의(설계넣고)_무안-광주2공구(협력)수정_신천동주상복합신축공사" xfId="3312" xr:uid="{00000000-0005-0000-0000-0000E00C0000}"/>
    <cellStyle name="_적격 _송학하수품의(설계넣고)_무안-광주2공구(협력)수정_용답동오피스텔가실행" xfId="3313" xr:uid="{00000000-0005-0000-0000-0000E10C0000}"/>
    <cellStyle name="_적격 _송학하수품의(설계넣고)_번암견적의뢰(협력)" xfId="3314" xr:uid="{00000000-0005-0000-0000-0000E20C0000}"/>
    <cellStyle name="_적격 _송학하수품의(설계넣고)_번암견적의뢰(협력)_구기동(제출)(95.0)(031121)" xfId="3315" xr:uid="{00000000-0005-0000-0000-0000E30C0000}"/>
    <cellStyle name="_적격 _송학하수품의(설계넣고)_번암견적의뢰(협력)_구기동레포츠센타제출" xfId="3316" xr:uid="{00000000-0005-0000-0000-0000E40C0000}"/>
    <cellStyle name="_적격 _송학하수품의(설계넣고)_번암견적의뢰(협력)_신천동주상복합신축공사" xfId="3317" xr:uid="{00000000-0005-0000-0000-0000E50C0000}"/>
    <cellStyle name="_적격 _송학하수품의(설계넣고)_번암견적의뢰(협력)_용답동오피스텔가실행" xfId="3318" xr:uid="{00000000-0005-0000-0000-0000E60C0000}"/>
    <cellStyle name="_적격 _송학하수품의(설계넣고)_신천동주상복합신축공사" xfId="3319" xr:uid="{00000000-0005-0000-0000-0000E70C0000}"/>
    <cellStyle name="_적격 _송학하수품의(설계넣고)_용답동오피스텔가실행" xfId="3320" xr:uid="{00000000-0005-0000-0000-0000E80C0000}"/>
    <cellStyle name="_적격 _송학하수품의(설계넣고)_적상무주IC도로(1공구)" xfId="3321" xr:uid="{00000000-0005-0000-0000-0000E90C0000}"/>
    <cellStyle name="_적격 _송학하수품의(설계넣고)_적상무주IC도로(1공구)_구기동(제출)(95.0)(031121)" xfId="3322" xr:uid="{00000000-0005-0000-0000-0000EA0C0000}"/>
    <cellStyle name="_적격 _송학하수품의(설계넣고)_적상무주IC도로(1공구)_구기동레포츠센타제출" xfId="3323" xr:uid="{00000000-0005-0000-0000-0000EB0C0000}"/>
    <cellStyle name="_적격 _송학하수품의(설계넣고)_적상무주IC도로(1공구)_신천동주상복합신축공사" xfId="3324" xr:uid="{00000000-0005-0000-0000-0000EC0C0000}"/>
    <cellStyle name="_적격 _송학하수품의(설계넣고)_적상무주IC도로(1공구)_용답동오피스텔가실행" xfId="3325" xr:uid="{00000000-0005-0000-0000-0000ED0C0000}"/>
    <cellStyle name="_적격 _수원-가실행" xfId="3326" xr:uid="{00000000-0005-0000-0000-0000EE0C0000}"/>
    <cellStyle name="_적격 _신천동주상복합신축공사" xfId="3327" xr:uid="{00000000-0005-0000-0000-0000EF0C0000}"/>
    <cellStyle name="_적격 _안양소사자동제어단가" xfId="3328" xr:uid="{00000000-0005-0000-0000-0000F00C0000}"/>
    <cellStyle name="_적격 _안양소사자동제어단가_견적서양식" xfId="3329" xr:uid="{00000000-0005-0000-0000-0000F10C0000}"/>
    <cellStyle name="_적격 _용답동오피스텔가실행" xfId="3330" xr:uid="{00000000-0005-0000-0000-0000F20C0000}"/>
    <cellStyle name="_적격 _적상무주IC도로(1공구)" xfId="3331" xr:uid="{00000000-0005-0000-0000-0000F30C0000}"/>
    <cellStyle name="_적격 _적상무주IC도로(1공구)_구기동(제출)(95.0)(031121)" xfId="3332" xr:uid="{00000000-0005-0000-0000-0000F40C0000}"/>
    <cellStyle name="_적격 _적상무주IC도로(1공구)_구기동레포츠센타제출" xfId="3333" xr:uid="{00000000-0005-0000-0000-0000F50C0000}"/>
    <cellStyle name="_적격 _적상무주IC도로(1공구)_신천동주상복합신축공사" xfId="3334" xr:uid="{00000000-0005-0000-0000-0000F60C0000}"/>
    <cellStyle name="_적격 _적상무주IC도로(1공구)_용답동오피스텔가실행" xfId="3335" xr:uid="{00000000-0005-0000-0000-0000F70C0000}"/>
    <cellStyle name="_적격 _집행갑지 " xfId="3336" xr:uid="{00000000-0005-0000-0000-0000F80C0000}"/>
    <cellStyle name="_적격 _집행갑지 _광주평동실행" xfId="3337" xr:uid="{00000000-0005-0000-0000-0000F90C0000}"/>
    <cellStyle name="_적격 _집행갑지 _광주평동실행_구기동(제출)(95.0)(031121)" xfId="3338" xr:uid="{00000000-0005-0000-0000-0000FA0C0000}"/>
    <cellStyle name="_적격 _집행갑지 _광주평동실행_구기동레포츠센타제출" xfId="3339" xr:uid="{00000000-0005-0000-0000-0000FB0C0000}"/>
    <cellStyle name="_적격 _집행갑지 _광주평동실행_번암견적의뢰(협력)" xfId="3340" xr:uid="{00000000-0005-0000-0000-0000FC0C0000}"/>
    <cellStyle name="_적격 _집행갑지 _광주평동실행_번암견적의뢰(협력)_구기동(제출)(95.0)(031121)" xfId="3341" xr:uid="{00000000-0005-0000-0000-0000FD0C0000}"/>
    <cellStyle name="_적격 _집행갑지 _광주평동실행_번암견적의뢰(협력)_구기동레포츠센타제출" xfId="3342" xr:uid="{00000000-0005-0000-0000-0000FE0C0000}"/>
    <cellStyle name="_적격 _집행갑지 _광주평동실행_번암견적의뢰(협력)_신천동주상복합신축공사" xfId="3343" xr:uid="{00000000-0005-0000-0000-0000FF0C0000}"/>
    <cellStyle name="_적격 _집행갑지 _광주평동실행_번암견적의뢰(협력)_용답동오피스텔가실행" xfId="3344" xr:uid="{00000000-0005-0000-0000-0000000D0000}"/>
    <cellStyle name="_적격 _집행갑지 _광주평동실행_신천동주상복합신축공사" xfId="3345" xr:uid="{00000000-0005-0000-0000-0000010D0000}"/>
    <cellStyle name="_적격 _집행갑지 _광주평동실행_용답동오피스텔가실행" xfId="3346" xr:uid="{00000000-0005-0000-0000-0000020D0000}"/>
    <cellStyle name="_적격 _집행갑지 _광주평동품의1" xfId="3347" xr:uid="{00000000-0005-0000-0000-0000030D0000}"/>
    <cellStyle name="_적격 _집행갑지 _광주평동품의1_구기동(제출)(95.0)(031121)" xfId="3348" xr:uid="{00000000-0005-0000-0000-0000040D0000}"/>
    <cellStyle name="_적격 _집행갑지 _광주평동품의1_구기동레포츠센타제출" xfId="3349" xr:uid="{00000000-0005-0000-0000-0000050D0000}"/>
    <cellStyle name="_적격 _집행갑지 _광주평동품의1_무안-광주2공구(협력)수정" xfId="3350" xr:uid="{00000000-0005-0000-0000-0000060D0000}"/>
    <cellStyle name="_적격 _집행갑지 _광주평동품의1_무안-광주2공구(협력)수정_구기동(제출)(95.0)(031121)" xfId="3351" xr:uid="{00000000-0005-0000-0000-0000070D0000}"/>
    <cellStyle name="_적격 _집행갑지 _광주평동품의1_무안-광주2공구(협력)수정_구기동레포츠센타제출" xfId="3352" xr:uid="{00000000-0005-0000-0000-0000080D0000}"/>
    <cellStyle name="_적격 _집행갑지 _광주평동품의1_무안-광주2공구(협력)수정_신천동주상복합신축공사" xfId="3353" xr:uid="{00000000-0005-0000-0000-0000090D0000}"/>
    <cellStyle name="_적격 _집행갑지 _광주평동품의1_무안-광주2공구(협력)수정_용답동오피스텔가실행" xfId="3354" xr:uid="{00000000-0005-0000-0000-00000A0D0000}"/>
    <cellStyle name="_적격 _집행갑지 _광주평동품의1_번암견적의뢰(협력)" xfId="3355" xr:uid="{00000000-0005-0000-0000-00000B0D0000}"/>
    <cellStyle name="_적격 _집행갑지 _광주평동품의1_번암견적의뢰(협력)_구기동(제출)(95.0)(031121)" xfId="3356" xr:uid="{00000000-0005-0000-0000-00000C0D0000}"/>
    <cellStyle name="_적격 _집행갑지 _광주평동품의1_번암견적의뢰(협력)_구기동레포츠센타제출" xfId="3357" xr:uid="{00000000-0005-0000-0000-00000D0D0000}"/>
    <cellStyle name="_적격 _집행갑지 _광주평동품의1_번암견적의뢰(협력)_신천동주상복합신축공사" xfId="3358" xr:uid="{00000000-0005-0000-0000-00000E0D0000}"/>
    <cellStyle name="_적격 _집행갑지 _광주평동품의1_번암견적의뢰(협력)_용답동오피스텔가실행" xfId="3359" xr:uid="{00000000-0005-0000-0000-00000F0D0000}"/>
    <cellStyle name="_적격 _집행갑지 _광주평동품의1_신천동주상복합신축공사" xfId="3360" xr:uid="{00000000-0005-0000-0000-0000100D0000}"/>
    <cellStyle name="_적격 _집행갑지 _광주평동품의1_용답동오피스텔가실행" xfId="3361" xr:uid="{00000000-0005-0000-0000-0000110D0000}"/>
    <cellStyle name="_적격 _집행갑지 _광주평동품의1_적상무주IC도로(1공구)" xfId="3362" xr:uid="{00000000-0005-0000-0000-0000120D0000}"/>
    <cellStyle name="_적격 _집행갑지 _광주평동품의1_적상무주IC도로(1공구)_구기동(제출)(95.0)(031121)" xfId="3363" xr:uid="{00000000-0005-0000-0000-0000130D0000}"/>
    <cellStyle name="_적격 _집행갑지 _광주평동품의1_적상무주IC도로(1공구)_구기동레포츠센타제출" xfId="3364" xr:uid="{00000000-0005-0000-0000-0000140D0000}"/>
    <cellStyle name="_적격 _집행갑지 _광주평동품의1_적상무주IC도로(1공구)_신천동주상복합신축공사" xfId="3365" xr:uid="{00000000-0005-0000-0000-0000150D0000}"/>
    <cellStyle name="_적격 _집행갑지 _광주평동품의1_적상무주IC도로(1공구)_용답동오피스텔가실행" xfId="3366" xr:uid="{00000000-0005-0000-0000-0000160D0000}"/>
    <cellStyle name="_적격 _집행갑지 _구기동(제출)(95.0)(031121)" xfId="3367" xr:uid="{00000000-0005-0000-0000-0000170D0000}"/>
    <cellStyle name="_적격 _집행갑지 _구기동레포츠센타제출" xfId="3368" xr:uid="{00000000-0005-0000-0000-0000180D0000}"/>
    <cellStyle name="_적격 _집행갑지 _기장하수실행1" xfId="3369" xr:uid="{00000000-0005-0000-0000-0000190D0000}"/>
    <cellStyle name="_적격 _집행갑지 _기장하수실행1_구기동(제출)(95.0)(031121)" xfId="3370" xr:uid="{00000000-0005-0000-0000-00001A0D0000}"/>
    <cellStyle name="_적격 _집행갑지 _기장하수실행1_구기동레포츠센타제출" xfId="3371" xr:uid="{00000000-0005-0000-0000-00001B0D0000}"/>
    <cellStyle name="_적격 _집행갑지 _기장하수실행1_번암견적의뢰(협력)" xfId="3372" xr:uid="{00000000-0005-0000-0000-00001C0D0000}"/>
    <cellStyle name="_적격 _집행갑지 _기장하수실행1_번암견적의뢰(협력)_구기동(제출)(95.0)(031121)" xfId="3373" xr:uid="{00000000-0005-0000-0000-00001D0D0000}"/>
    <cellStyle name="_적격 _집행갑지 _기장하수실행1_번암견적의뢰(협력)_구기동레포츠센타제출" xfId="3374" xr:uid="{00000000-0005-0000-0000-00001E0D0000}"/>
    <cellStyle name="_적격 _집행갑지 _기장하수실행1_번암견적의뢰(협력)_신천동주상복합신축공사" xfId="3375" xr:uid="{00000000-0005-0000-0000-00001F0D0000}"/>
    <cellStyle name="_적격 _집행갑지 _기장하수실행1_번암견적의뢰(협력)_용답동오피스텔가실행" xfId="3376" xr:uid="{00000000-0005-0000-0000-0000200D0000}"/>
    <cellStyle name="_적격 _집행갑지 _기장하수실행1_신천동주상복합신축공사" xfId="3377" xr:uid="{00000000-0005-0000-0000-0000210D0000}"/>
    <cellStyle name="_적격 _집행갑지 _기장하수실행1_용답동오피스텔가실행" xfId="3378" xr:uid="{00000000-0005-0000-0000-0000220D0000}"/>
    <cellStyle name="_적격 _집행갑지 _무안-광주2공구(협력)수정" xfId="3379" xr:uid="{00000000-0005-0000-0000-0000230D0000}"/>
    <cellStyle name="_적격 _집행갑지 _무안-광주2공구(협력)수정_구기동(제출)(95.0)(031121)" xfId="3380" xr:uid="{00000000-0005-0000-0000-0000240D0000}"/>
    <cellStyle name="_적격 _집행갑지 _무안-광주2공구(협력)수정_구기동레포츠센타제출" xfId="3381" xr:uid="{00000000-0005-0000-0000-0000250D0000}"/>
    <cellStyle name="_적격 _집행갑지 _무안-광주2공구(협력)수정_신천동주상복합신축공사" xfId="3382" xr:uid="{00000000-0005-0000-0000-0000260D0000}"/>
    <cellStyle name="_적격 _집행갑지 _무안-광주2공구(협력)수정_용답동오피스텔가실행" xfId="3383" xr:uid="{00000000-0005-0000-0000-0000270D0000}"/>
    <cellStyle name="_적격 _집행갑지 _번암견적의뢰(협력)" xfId="3384" xr:uid="{00000000-0005-0000-0000-0000280D0000}"/>
    <cellStyle name="_적격 _집행갑지 _번암견적의뢰(협력)_구기동(제출)(95.0)(031121)" xfId="3385" xr:uid="{00000000-0005-0000-0000-0000290D0000}"/>
    <cellStyle name="_적격 _집행갑지 _번암견적의뢰(협력)_구기동레포츠센타제출" xfId="3386" xr:uid="{00000000-0005-0000-0000-00002A0D0000}"/>
    <cellStyle name="_적격 _집행갑지 _번암견적의뢰(협력)_신천동주상복합신축공사" xfId="3387" xr:uid="{00000000-0005-0000-0000-00002B0D0000}"/>
    <cellStyle name="_적격 _집행갑지 _번암견적의뢰(협력)_용답동오피스텔가실행" xfId="3388" xr:uid="{00000000-0005-0000-0000-00002C0D0000}"/>
    <cellStyle name="_적격 _집행갑지 _송학실행안" xfId="3389" xr:uid="{00000000-0005-0000-0000-00002D0D0000}"/>
    <cellStyle name="_적격 _집행갑지 _송학실행안_구기동(제출)(95.0)(031121)" xfId="3390" xr:uid="{00000000-0005-0000-0000-00002E0D0000}"/>
    <cellStyle name="_적격 _집행갑지 _송학실행안_구기동레포츠센타제출" xfId="3391" xr:uid="{00000000-0005-0000-0000-00002F0D0000}"/>
    <cellStyle name="_적격 _집행갑지 _송학실행안_번암견적의뢰(협력)" xfId="3392" xr:uid="{00000000-0005-0000-0000-0000300D0000}"/>
    <cellStyle name="_적격 _집행갑지 _송학실행안_번암견적의뢰(협력)_구기동(제출)(95.0)(031121)" xfId="3393" xr:uid="{00000000-0005-0000-0000-0000310D0000}"/>
    <cellStyle name="_적격 _집행갑지 _송학실행안_번암견적의뢰(협력)_구기동레포츠센타제출" xfId="3394" xr:uid="{00000000-0005-0000-0000-0000320D0000}"/>
    <cellStyle name="_적격 _집행갑지 _송학실행안_번암견적의뢰(협력)_신천동주상복합신축공사" xfId="3395" xr:uid="{00000000-0005-0000-0000-0000330D0000}"/>
    <cellStyle name="_적격 _집행갑지 _송학실행안_번암견적의뢰(협력)_용답동오피스텔가실행" xfId="3396" xr:uid="{00000000-0005-0000-0000-0000340D0000}"/>
    <cellStyle name="_적격 _집행갑지 _송학실행안_신천동주상복합신축공사" xfId="3397" xr:uid="{00000000-0005-0000-0000-0000350D0000}"/>
    <cellStyle name="_적격 _집행갑지 _송학실행안_용답동오피스텔가실행" xfId="3398" xr:uid="{00000000-0005-0000-0000-0000360D0000}"/>
    <cellStyle name="_적격 _집행갑지 _송학하수투찰" xfId="3399" xr:uid="{00000000-0005-0000-0000-0000370D0000}"/>
    <cellStyle name="_적격 _집행갑지 _송학하수투찰_구기동(제출)(95.0)(031121)" xfId="3400" xr:uid="{00000000-0005-0000-0000-0000380D0000}"/>
    <cellStyle name="_적격 _집행갑지 _송학하수투찰_구기동레포츠센타제출" xfId="3401" xr:uid="{00000000-0005-0000-0000-0000390D0000}"/>
    <cellStyle name="_적격 _집행갑지 _송학하수투찰_번암견적의뢰(협력)" xfId="3402" xr:uid="{00000000-0005-0000-0000-00003A0D0000}"/>
    <cellStyle name="_적격 _집행갑지 _송학하수투찰_번암견적의뢰(협력)_구기동(제출)(95.0)(031121)" xfId="3403" xr:uid="{00000000-0005-0000-0000-00003B0D0000}"/>
    <cellStyle name="_적격 _집행갑지 _송학하수투찰_번암견적의뢰(협력)_구기동레포츠센타제출" xfId="3404" xr:uid="{00000000-0005-0000-0000-00003C0D0000}"/>
    <cellStyle name="_적격 _집행갑지 _송학하수투찰_번암견적의뢰(협력)_신천동주상복합신축공사" xfId="3405" xr:uid="{00000000-0005-0000-0000-00003D0D0000}"/>
    <cellStyle name="_적격 _집행갑지 _송학하수투찰_번암견적의뢰(협력)_용답동오피스텔가실행" xfId="3406" xr:uid="{00000000-0005-0000-0000-00003E0D0000}"/>
    <cellStyle name="_적격 _집행갑지 _송학하수투찰_신천동주상복합신축공사" xfId="3407" xr:uid="{00000000-0005-0000-0000-00003F0D0000}"/>
    <cellStyle name="_적격 _집행갑지 _송학하수투찰_용답동오피스텔가실행" xfId="3408" xr:uid="{00000000-0005-0000-0000-0000400D0000}"/>
    <cellStyle name="_적격 _집행갑지 _송학하수품의(설계넣고)" xfId="3409" xr:uid="{00000000-0005-0000-0000-0000410D0000}"/>
    <cellStyle name="_적격 _집행갑지 _송학하수품의(설계넣고)_구기동(제출)(95.0)(031121)" xfId="3410" xr:uid="{00000000-0005-0000-0000-0000420D0000}"/>
    <cellStyle name="_적격 _집행갑지 _송학하수품의(설계넣고)_구기동레포츠센타제출" xfId="3411" xr:uid="{00000000-0005-0000-0000-0000430D0000}"/>
    <cellStyle name="_적격 _집행갑지 _송학하수품의(설계넣고)_무안-광주2공구(협력)수정" xfId="3412" xr:uid="{00000000-0005-0000-0000-0000440D0000}"/>
    <cellStyle name="_적격 _집행갑지 _송학하수품의(설계넣고)_무안-광주2공구(협력)수정_구기동(제출)(95.0)(031121)" xfId="3413" xr:uid="{00000000-0005-0000-0000-0000450D0000}"/>
    <cellStyle name="_적격 _집행갑지 _송학하수품의(설계넣고)_무안-광주2공구(협력)수정_구기동레포츠센타제출" xfId="3414" xr:uid="{00000000-0005-0000-0000-0000460D0000}"/>
    <cellStyle name="_적격 _집행갑지 _송학하수품의(설계넣고)_무안-광주2공구(협력)수정_신천동주상복합신축공사" xfId="3415" xr:uid="{00000000-0005-0000-0000-0000470D0000}"/>
    <cellStyle name="_적격 _집행갑지 _송학하수품의(설계넣고)_무안-광주2공구(협력)수정_용답동오피스텔가실행" xfId="3416" xr:uid="{00000000-0005-0000-0000-0000480D0000}"/>
    <cellStyle name="_적격 _집행갑지 _송학하수품의(설계넣고)_번암견적의뢰(협력)" xfId="3417" xr:uid="{00000000-0005-0000-0000-0000490D0000}"/>
    <cellStyle name="_적격 _집행갑지 _송학하수품의(설계넣고)_번암견적의뢰(협력)_구기동(제출)(95.0)(031121)" xfId="3418" xr:uid="{00000000-0005-0000-0000-00004A0D0000}"/>
    <cellStyle name="_적격 _집행갑지 _송학하수품의(설계넣고)_번암견적의뢰(협력)_구기동레포츠센타제출" xfId="3419" xr:uid="{00000000-0005-0000-0000-00004B0D0000}"/>
    <cellStyle name="_적격 _집행갑지 _송학하수품의(설계넣고)_번암견적의뢰(협력)_신천동주상복합신축공사" xfId="3420" xr:uid="{00000000-0005-0000-0000-00004C0D0000}"/>
    <cellStyle name="_적격 _집행갑지 _송학하수품의(설계넣고)_번암견적의뢰(협력)_용답동오피스텔가실행" xfId="3421" xr:uid="{00000000-0005-0000-0000-00004D0D0000}"/>
    <cellStyle name="_적격 _집행갑지 _송학하수품의(설계넣고)_신천동주상복합신축공사" xfId="3422" xr:uid="{00000000-0005-0000-0000-00004E0D0000}"/>
    <cellStyle name="_적격 _집행갑지 _송학하수품의(설계넣고)_용답동오피스텔가실행" xfId="3423" xr:uid="{00000000-0005-0000-0000-00004F0D0000}"/>
    <cellStyle name="_적격 _집행갑지 _송학하수품의(설계넣고)_적상무주IC도로(1공구)" xfId="3424" xr:uid="{00000000-0005-0000-0000-0000500D0000}"/>
    <cellStyle name="_적격 _집행갑지 _송학하수품의(설계넣고)_적상무주IC도로(1공구)_구기동(제출)(95.0)(031121)" xfId="3425" xr:uid="{00000000-0005-0000-0000-0000510D0000}"/>
    <cellStyle name="_적격 _집행갑지 _송학하수품의(설계넣고)_적상무주IC도로(1공구)_구기동레포츠센타제출" xfId="3426" xr:uid="{00000000-0005-0000-0000-0000520D0000}"/>
    <cellStyle name="_적격 _집행갑지 _송학하수품의(설계넣고)_적상무주IC도로(1공구)_신천동주상복합신축공사" xfId="3427" xr:uid="{00000000-0005-0000-0000-0000530D0000}"/>
    <cellStyle name="_적격 _집행갑지 _송학하수품의(설계넣고)_적상무주IC도로(1공구)_용답동오피스텔가실행" xfId="3428" xr:uid="{00000000-0005-0000-0000-0000540D0000}"/>
    <cellStyle name="_적격 _집행갑지 _신천동주상복합신축공사" xfId="3429" xr:uid="{00000000-0005-0000-0000-0000550D0000}"/>
    <cellStyle name="_적격 _집행갑지 _용답동오피스텔가실행" xfId="3430" xr:uid="{00000000-0005-0000-0000-0000560D0000}"/>
    <cellStyle name="_적격 _집행갑지 _적상무주IC도로(1공구)" xfId="3431" xr:uid="{00000000-0005-0000-0000-0000570D0000}"/>
    <cellStyle name="_적격 _집행갑지 _적상무주IC도로(1공구)_구기동(제출)(95.0)(031121)" xfId="3432" xr:uid="{00000000-0005-0000-0000-0000580D0000}"/>
    <cellStyle name="_적격 _집행갑지 _적상무주IC도로(1공구)_구기동레포츠센타제출" xfId="3433" xr:uid="{00000000-0005-0000-0000-0000590D0000}"/>
    <cellStyle name="_적격 _집행갑지 _적상무주IC도로(1공구)_신천동주상복합신축공사" xfId="3434" xr:uid="{00000000-0005-0000-0000-00005A0D0000}"/>
    <cellStyle name="_적격 _집행갑지 _적상무주IC도로(1공구)_용답동오피스텔가실행" xfId="3435" xr:uid="{00000000-0005-0000-0000-00005B0D0000}"/>
    <cellStyle name="_적격(화산) " xfId="3436" xr:uid="{00000000-0005-0000-0000-00005C0D0000}"/>
    <cellStyle name="_적격(화산) _04028적산수량집계" xfId="3437" xr:uid="{00000000-0005-0000-0000-00005D0D0000}"/>
    <cellStyle name="_적격(화산) _04-가실행(작업중)" xfId="3438" xr:uid="{00000000-0005-0000-0000-00005E0D0000}"/>
    <cellStyle name="_적격(화산) _04-가실행(작업중1)" xfId="3439" xr:uid="{00000000-0005-0000-0000-00005F0D0000}"/>
    <cellStyle name="_적격(화산) _1. 가실행예산(0629 도면기준)" xfId="3440" xr:uid="{00000000-0005-0000-0000-0000600D0000}"/>
    <cellStyle name="_적격(화산) _1. 가실행예산(0629 도면기준)_4.일신통신 가실행예산(재견적合)" xfId="3441" xr:uid="{00000000-0005-0000-0000-0000610D0000}"/>
    <cellStyle name="_적격(화산) _1. 가실행예산(0629 도면기준)_을" xfId="3442" xr:uid="{00000000-0005-0000-0000-0000620D0000}"/>
    <cellStyle name="_적격(화산) _1.본실행 - 조정(안)" xfId="3443" xr:uid="{00000000-0005-0000-0000-0000630D0000}"/>
    <cellStyle name="_적격(화산) _1.본실행 - 조정(안)_4.일신통신 가실행예산(재견적合)" xfId="3444" xr:uid="{00000000-0005-0000-0000-0000640D0000}"/>
    <cellStyle name="_적격(화산) _1.본실행 - 조정(안)_을" xfId="3445" xr:uid="{00000000-0005-0000-0000-0000650D0000}"/>
    <cellStyle name="_적격(화산) _4.일신통신 가실행예산(재견적合)" xfId="3446" xr:uid="{00000000-0005-0000-0000-0000660D0000}"/>
    <cellStyle name="_적격(화산) _KT견적요청" xfId="3447" xr:uid="{00000000-0005-0000-0000-0000670D0000}"/>
    <cellStyle name="_적격(화산) _가실행" xfId="3448" xr:uid="{00000000-0005-0000-0000-0000680D0000}"/>
    <cellStyle name="_적격(화산) _견적서양식" xfId="3449" xr:uid="{00000000-0005-0000-0000-0000690D0000}"/>
    <cellStyle name="_적격(화산) _광주평동실행" xfId="3450" xr:uid="{00000000-0005-0000-0000-00006A0D0000}"/>
    <cellStyle name="_적격(화산) _광주평동실행_구기동(제출)(95.0)(031121)" xfId="3451" xr:uid="{00000000-0005-0000-0000-00006B0D0000}"/>
    <cellStyle name="_적격(화산) _광주평동실행_구기동레포츠센타제출" xfId="3452" xr:uid="{00000000-0005-0000-0000-00006C0D0000}"/>
    <cellStyle name="_적격(화산) _광주평동실행_번암견적의뢰(협력)" xfId="3453" xr:uid="{00000000-0005-0000-0000-00006D0D0000}"/>
    <cellStyle name="_적격(화산) _광주평동실행_번암견적의뢰(협력)_구기동(제출)(95.0)(031121)" xfId="3454" xr:uid="{00000000-0005-0000-0000-00006E0D0000}"/>
    <cellStyle name="_적격(화산) _광주평동실행_번암견적의뢰(협력)_구기동레포츠센타제출" xfId="3455" xr:uid="{00000000-0005-0000-0000-00006F0D0000}"/>
    <cellStyle name="_적격(화산) _광주평동실행_번암견적의뢰(협력)_신천동주상복합신축공사" xfId="3456" xr:uid="{00000000-0005-0000-0000-0000700D0000}"/>
    <cellStyle name="_적격(화산) _광주평동실행_번암견적의뢰(협력)_용답동오피스텔가실행" xfId="3457" xr:uid="{00000000-0005-0000-0000-0000710D0000}"/>
    <cellStyle name="_적격(화산) _광주평동실행_신천동주상복합신축공사" xfId="3458" xr:uid="{00000000-0005-0000-0000-0000720D0000}"/>
    <cellStyle name="_적격(화산) _광주평동실행_용답동오피스텔가실행" xfId="3459" xr:uid="{00000000-0005-0000-0000-0000730D0000}"/>
    <cellStyle name="_적격(화산) _광주평동품의1" xfId="3460" xr:uid="{00000000-0005-0000-0000-0000740D0000}"/>
    <cellStyle name="_적격(화산) _광주평동품의1_구기동(제출)(95.0)(031121)" xfId="3461" xr:uid="{00000000-0005-0000-0000-0000750D0000}"/>
    <cellStyle name="_적격(화산) _광주평동품의1_구기동레포츠센타제출" xfId="3462" xr:uid="{00000000-0005-0000-0000-0000760D0000}"/>
    <cellStyle name="_적격(화산) _광주평동품의1_무안-광주2공구(협력)수정" xfId="3463" xr:uid="{00000000-0005-0000-0000-0000770D0000}"/>
    <cellStyle name="_적격(화산) _광주평동품의1_무안-광주2공구(협력)수정_구기동(제출)(95.0)(031121)" xfId="3464" xr:uid="{00000000-0005-0000-0000-0000780D0000}"/>
    <cellStyle name="_적격(화산) _광주평동품의1_무안-광주2공구(협력)수정_구기동레포츠센타제출" xfId="3465" xr:uid="{00000000-0005-0000-0000-0000790D0000}"/>
    <cellStyle name="_적격(화산) _광주평동품의1_무안-광주2공구(협력)수정_신천동주상복합신축공사" xfId="3466" xr:uid="{00000000-0005-0000-0000-00007A0D0000}"/>
    <cellStyle name="_적격(화산) _광주평동품의1_무안-광주2공구(협력)수정_용답동오피스텔가실행" xfId="3467" xr:uid="{00000000-0005-0000-0000-00007B0D0000}"/>
    <cellStyle name="_적격(화산) _광주평동품의1_번암견적의뢰(협력)" xfId="3468" xr:uid="{00000000-0005-0000-0000-00007C0D0000}"/>
    <cellStyle name="_적격(화산) _광주평동품의1_번암견적의뢰(협력)_구기동(제출)(95.0)(031121)" xfId="3469" xr:uid="{00000000-0005-0000-0000-00007D0D0000}"/>
    <cellStyle name="_적격(화산) _광주평동품의1_번암견적의뢰(협력)_구기동레포츠센타제출" xfId="3470" xr:uid="{00000000-0005-0000-0000-00007E0D0000}"/>
    <cellStyle name="_적격(화산) _광주평동품의1_번암견적의뢰(협력)_신천동주상복합신축공사" xfId="3471" xr:uid="{00000000-0005-0000-0000-00007F0D0000}"/>
    <cellStyle name="_적격(화산) _광주평동품의1_번암견적의뢰(협력)_용답동오피스텔가실행" xfId="3472" xr:uid="{00000000-0005-0000-0000-0000800D0000}"/>
    <cellStyle name="_적격(화산) _광주평동품의1_신천동주상복합신축공사" xfId="3473" xr:uid="{00000000-0005-0000-0000-0000810D0000}"/>
    <cellStyle name="_적격(화산) _광주평동품의1_용답동오피스텔가실행" xfId="3474" xr:uid="{00000000-0005-0000-0000-0000820D0000}"/>
    <cellStyle name="_적격(화산) _광주평동품의1_적상무주IC도로(1공구)" xfId="3475" xr:uid="{00000000-0005-0000-0000-0000830D0000}"/>
    <cellStyle name="_적격(화산) _광주평동품의1_적상무주IC도로(1공구)_구기동(제출)(95.0)(031121)" xfId="3476" xr:uid="{00000000-0005-0000-0000-0000840D0000}"/>
    <cellStyle name="_적격(화산) _광주평동품의1_적상무주IC도로(1공구)_구기동레포츠센타제출" xfId="3477" xr:uid="{00000000-0005-0000-0000-0000850D0000}"/>
    <cellStyle name="_적격(화산) _광주평동품의1_적상무주IC도로(1공구)_신천동주상복합신축공사" xfId="3478" xr:uid="{00000000-0005-0000-0000-0000860D0000}"/>
    <cellStyle name="_적격(화산) _광주평동품의1_적상무주IC도로(1공구)_용답동오피스텔가실행" xfId="3479" xr:uid="{00000000-0005-0000-0000-0000870D0000}"/>
    <cellStyle name="_적격(화산) _구기동(제출)(95.0)(031121)" xfId="3480" xr:uid="{00000000-0005-0000-0000-0000880D0000}"/>
    <cellStyle name="_적격(화산) _구기동레포츠센타제출" xfId="3481" xr:uid="{00000000-0005-0000-0000-0000890D0000}"/>
    <cellStyle name="_적격(화산) _기장하수실행1" xfId="3482" xr:uid="{00000000-0005-0000-0000-00008A0D0000}"/>
    <cellStyle name="_적격(화산) _기장하수실행1_구기동(제출)(95.0)(031121)" xfId="3483" xr:uid="{00000000-0005-0000-0000-00008B0D0000}"/>
    <cellStyle name="_적격(화산) _기장하수실행1_구기동레포츠센타제출" xfId="3484" xr:uid="{00000000-0005-0000-0000-00008C0D0000}"/>
    <cellStyle name="_적격(화산) _기장하수실행1_번암견적의뢰(협력)" xfId="3485" xr:uid="{00000000-0005-0000-0000-00008D0D0000}"/>
    <cellStyle name="_적격(화산) _기장하수실행1_번암견적의뢰(협력)_구기동(제출)(95.0)(031121)" xfId="3486" xr:uid="{00000000-0005-0000-0000-00008E0D0000}"/>
    <cellStyle name="_적격(화산) _기장하수실행1_번암견적의뢰(협력)_구기동레포츠센타제출" xfId="3487" xr:uid="{00000000-0005-0000-0000-00008F0D0000}"/>
    <cellStyle name="_적격(화산) _기장하수실행1_번암견적의뢰(협력)_신천동주상복합신축공사" xfId="3488" xr:uid="{00000000-0005-0000-0000-0000900D0000}"/>
    <cellStyle name="_적격(화산) _기장하수실행1_번암견적의뢰(협력)_용답동오피스텔가실행" xfId="3489" xr:uid="{00000000-0005-0000-0000-0000910D0000}"/>
    <cellStyle name="_적격(화산) _기장하수실행1_신천동주상복합신축공사" xfId="3490" xr:uid="{00000000-0005-0000-0000-0000920D0000}"/>
    <cellStyle name="_적격(화산) _기장하수실행1_용답동오피스텔가실행" xfId="3491" xr:uid="{00000000-0005-0000-0000-0000930D0000}"/>
    <cellStyle name="_적격(화산) _노원문화회관전기" xfId="3492" xr:uid="{00000000-0005-0000-0000-0000940D0000}"/>
    <cellStyle name="_적격(화산) _노원문화회관전기_견적서양식" xfId="3493" xr:uid="{00000000-0005-0000-0000-0000950D0000}"/>
    <cellStyle name="_적격(화산) _노원문화회관전기_소사안양도시가스견적단가" xfId="3494" xr:uid="{00000000-0005-0000-0000-0000960D0000}"/>
    <cellStyle name="_적격(화산) _노원문화회관전기_소사안양도시가스견적단가_견적서양식" xfId="3495" xr:uid="{00000000-0005-0000-0000-0000970D0000}"/>
    <cellStyle name="_적격(화산) _노원문화회관전기_안양소사자동제어단가" xfId="3496" xr:uid="{00000000-0005-0000-0000-0000980D0000}"/>
    <cellStyle name="_적격(화산) _노원문화회관전기_안양소사자동제어단가_견적서양식" xfId="3497" xr:uid="{00000000-0005-0000-0000-0000990D0000}"/>
    <cellStyle name="_적격(화산) _무안-광주2공구(협력)수정" xfId="3498" xr:uid="{00000000-0005-0000-0000-00009A0D0000}"/>
    <cellStyle name="_적격(화산) _무안-광주2공구(협력)수정_구기동(제출)(95.0)(031121)" xfId="3499" xr:uid="{00000000-0005-0000-0000-00009B0D0000}"/>
    <cellStyle name="_적격(화산) _무안-광주2공구(협력)수정_구기동레포츠센타제출" xfId="3500" xr:uid="{00000000-0005-0000-0000-00009C0D0000}"/>
    <cellStyle name="_적격(화산) _무안-광주2공구(협력)수정_신천동주상복합신축공사" xfId="3501" xr:uid="{00000000-0005-0000-0000-00009D0D0000}"/>
    <cellStyle name="_적격(화산) _무안-광주2공구(협력)수정_용답동오피스텔가실행" xfId="3502" xr:uid="{00000000-0005-0000-0000-00009E0D0000}"/>
    <cellStyle name="_적격(화산) _번암견적의뢰(협력)" xfId="3503" xr:uid="{00000000-0005-0000-0000-00009F0D0000}"/>
    <cellStyle name="_적격(화산) _번암견적의뢰(협력)_구기동(제출)(95.0)(031121)" xfId="3504" xr:uid="{00000000-0005-0000-0000-0000A00D0000}"/>
    <cellStyle name="_적격(화산) _번암견적의뢰(협력)_구기동레포츠센타제출" xfId="3505" xr:uid="{00000000-0005-0000-0000-0000A10D0000}"/>
    <cellStyle name="_적격(화산) _번암견적의뢰(협력)_신천동주상복합신축공사" xfId="3506" xr:uid="{00000000-0005-0000-0000-0000A20D0000}"/>
    <cellStyle name="_적격(화산) _번암견적의뢰(협력)_용답동오피스텔가실행" xfId="3507" xr:uid="{00000000-0005-0000-0000-0000A30D0000}"/>
    <cellStyle name="_적격(화산) _소사안양도시가스견적단가" xfId="3508" xr:uid="{00000000-0005-0000-0000-0000A40D0000}"/>
    <cellStyle name="_적격(화산) _소사안양도시가스견적단가_견적서양식" xfId="3509" xr:uid="{00000000-0005-0000-0000-0000A50D0000}"/>
    <cellStyle name="_적격(화산) _송학실행안" xfId="3510" xr:uid="{00000000-0005-0000-0000-0000A60D0000}"/>
    <cellStyle name="_적격(화산) _송학실행안_구기동(제출)(95.0)(031121)" xfId="3511" xr:uid="{00000000-0005-0000-0000-0000A70D0000}"/>
    <cellStyle name="_적격(화산) _송학실행안_구기동레포츠센타제출" xfId="3512" xr:uid="{00000000-0005-0000-0000-0000A80D0000}"/>
    <cellStyle name="_적격(화산) _송학실행안_번암견적의뢰(협력)" xfId="3513" xr:uid="{00000000-0005-0000-0000-0000A90D0000}"/>
    <cellStyle name="_적격(화산) _송학실행안_번암견적의뢰(협력)_구기동(제출)(95.0)(031121)" xfId="3514" xr:uid="{00000000-0005-0000-0000-0000AA0D0000}"/>
    <cellStyle name="_적격(화산) _송학실행안_번암견적의뢰(협력)_구기동레포츠센타제출" xfId="3515" xr:uid="{00000000-0005-0000-0000-0000AB0D0000}"/>
    <cellStyle name="_적격(화산) _송학실행안_번암견적의뢰(협력)_신천동주상복합신축공사" xfId="3516" xr:uid="{00000000-0005-0000-0000-0000AC0D0000}"/>
    <cellStyle name="_적격(화산) _송학실행안_번암견적의뢰(협력)_용답동오피스텔가실행" xfId="3517" xr:uid="{00000000-0005-0000-0000-0000AD0D0000}"/>
    <cellStyle name="_적격(화산) _송학실행안_신천동주상복합신축공사" xfId="3518" xr:uid="{00000000-0005-0000-0000-0000AE0D0000}"/>
    <cellStyle name="_적격(화산) _송학실행안_용답동오피스텔가실행" xfId="3519" xr:uid="{00000000-0005-0000-0000-0000AF0D0000}"/>
    <cellStyle name="_적격(화산) _송학하수투찰" xfId="3520" xr:uid="{00000000-0005-0000-0000-0000B00D0000}"/>
    <cellStyle name="_적격(화산) _송학하수투찰_구기동(제출)(95.0)(031121)" xfId="3521" xr:uid="{00000000-0005-0000-0000-0000B10D0000}"/>
    <cellStyle name="_적격(화산) _송학하수투찰_구기동레포츠센타제출" xfId="3522" xr:uid="{00000000-0005-0000-0000-0000B20D0000}"/>
    <cellStyle name="_적격(화산) _송학하수투찰_번암견적의뢰(협력)" xfId="3523" xr:uid="{00000000-0005-0000-0000-0000B30D0000}"/>
    <cellStyle name="_적격(화산) _송학하수투찰_번암견적의뢰(협력)_구기동(제출)(95.0)(031121)" xfId="3524" xr:uid="{00000000-0005-0000-0000-0000B40D0000}"/>
    <cellStyle name="_적격(화산) _송학하수투찰_번암견적의뢰(협력)_구기동레포츠센타제출" xfId="3525" xr:uid="{00000000-0005-0000-0000-0000B50D0000}"/>
    <cellStyle name="_적격(화산) _송학하수투찰_번암견적의뢰(협력)_신천동주상복합신축공사" xfId="3526" xr:uid="{00000000-0005-0000-0000-0000B60D0000}"/>
    <cellStyle name="_적격(화산) _송학하수투찰_번암견적의뢰(협력)_용답동오피스텔가실행" xfId="3527" xr:uid="{00000000-0005-0000-0000-0000B70D0000}"/>
    <cellStyle name="_적격(화산) _송학하수투찰_신천동주상복합신축공사" xfId="3528" xr:uid="{00000000-0005-0000-0000-0000B80D0000}"/>
    <cellStyle name="_적격(화산) _송학하수투찰_용답동오피스텔가실행" xfId="3529" xr:uid="{00000000-0005-0000-0000-0000B90D0000}"/>
    <cellStyle name="_적격(화산) _송학하수품의(설계넣고)" xfId="3530" xr:uid="{00000000-0005-0000-0000-0000BA0D0000}"/>
    <cellStyle name="_적격(화산) _송학하수품의(설계넣고)_구기동(제출)(95.0)(031121)" xfId="3531" xr:uid="{00000000-0005-0000-0000-0000BB0D0000}"/>
    <cellStyle name="_적격(화산) _송학하수품의(설계넣고)_구기동레포츠센타제출" xfId="3532" xr:uid="{00000000-0005-0000-0000-0000BC0D0000}"/>
    <cellStyle name="_적격(화산) _송학하수품의(설계넣고)_무안-광주2공구(협력)수정" xfId="3533" xr:uid="{00000000-0005-0000-0000-0000BD0D0000}"/>
    <cellStyle name="_적격(화산) _송학하수품의(설계넣고)_무안-광주2공구(협력)수정_구기동(제출)(95.0)(031121)" xfId="3534" xr:uid="{00000000-0005-0000-0000-0000BE0D0000}"/>
    <cellStyle name="_적격(화산) _송학하수품의(설계넣고)_무안-광주2공구(협력)수정_구기동레포츠센타제출" xfId="3535" xr:uid="{00000000-0005-0000-0000-0000BF0D0000}"/>
    <cellStyle name="_적격(화산) _송학하수품의(설계넣고)_무안-광주2공구(협력)수정_신천동주상복합신축공사" xfId="3536" xr:uid="{00000000-0005-0000-0000-0000C00D0000}"/>
    <cellStyle name="_적격(화산) _송학하수품의(설계넣고)_무안-광주2공구(협력)수정_용답동오피스텔가실행" xfId="3537" xr:uid="{00000000-0005-0000-0000-0000C10D0000}"/>
    <cellStyle name="_적격(화산) _송학하수품의(설계넣고)_번암견적의뢰(협력)" xfId="3538" xr:uid="{00000000-0005-0000-0000-0000C20D0000}"/>
    <cellStyle name="_적격(화산) _송학하수품의(설계넣고)_번암견적의뢰(협력)_구기동(제출)(95.0)(031121)" xfId="3539" xr:uid="{00000000-0005-0000-0000-0000C30D0000}"/>
    <cellStyle name="_적격(화산) _송학하수품의(설계넣고)_번암견적의뢰(협력)_구기동레포츠센타제출" xfId="3540" xr:uid="{00000000-0005-0000-0000-0000C40D0000}"/>
    <cellStyle name="_적격(화산) _송학하수품의(설계넣고)_번암견적의뢰(협력)_신천동주상복합신축공사" xfId="3541" xr:uid="{00000000-0005-0000-0000-0000C50D0000}"/>
    <cellStyle name="_적격(화산) _송학하수품의(설계넣고)_번암견적의뢰(협력)_용답동오피스텔가실행" xfId="3542" xr:uid="{00000000-0005-0000-0000-0000C60D0000}"/>
    <cellStyle name="_적격(화산) _송학하수품의(설계넣고)_신천동주상복합신축공사" xfId="3543" xr:uid="{00000000-0005-0000-0000-0000C70D0000}"/>
    <cellStyle name="_적격(화산) _송학하수품의(설계넣고)_용답동오피스텔가실행" xfId="3544" xr:uid="{00000000-0005-0000-0000-0000C80D0000}"/>
    <cellStyle name="_적격(화산) _송학하수품의(설계넣고)_적상무주IC도로(1공구)" xfId="3545" xr:uid="{00000000-0005-0000-0000-0000C90D0000}"/>
    <cellStyle name="_적격(화산) _송학하수품의(설계넣고)_적상무주IC도로(1공구)_구기동(제출)(95.0)(031121)" xfId="3546" xr:uid="{00000000-0005-0000-0000-0000CA0D0000}"/>
    <cellStyle name="_적격(화산) _송학하수품의(설계넣고)_적상무주IC도로(1공구)_구기동레포츠센타제출" xfId="3547" xr:uid="{00000000-0005-0000-0000-0000CB0D0000}"/>
    <cellStyle name="_적격(화산) _송학하수품의(설계넣고)_적상무주IC도로(1공구)_신천동주상복합신축공사" xfId="3548" xr:uid="{00000000-0005-0000-0000-0000CC0D0000}"/>
    <cellStyle name="_적격(화산) _송학하수품의(설계넣고)_적상무주IC도로(1공구)_용답동오피스텔가실행" xfId="3549" xr:uid="{00000000-0005-0000-0000-0000CD0D0000}"/>
    <cellStyle name="_적격(화산) _수원-가실행" xfId="3550" xr:uid="{00000000-0005-0000-0000-0000CE0D0000}"/>
    <cellStyle name="_적격(화산) _신령영천1_입찰" xfId="3551" xr:uid="{00000000-0005-0000-0000-0000CF0D0000}"/>
    <cellStyle name="_적격(화산) _신령영천1_입찰_1. 가실행예산(0629 도면기준)" xfId="3552" xr:uid="{00000000-0005-0000-0000-0000D00D0000}"/>
    <cellStyle name="_적격(화산) _신령영천1_입찰_1. 가실행예산(0629 도면기준)_4.일신통신 가실행예산(재견적合)" xfId="3553" xr:uid="{00000000-0005-0000-0000-0000D10D0000}"/>
    <cellStyle name="_적격(화산) _신령영천1_입찰_1. 가실행예산(0629 도면기준)_을" xfId="3554" xr:uid="{00000000-0005-0000-0000-0000D20D0000}"/>
    <cellStyle name="_적격(화산) _신령영천1_입찰_1.본실행 - 조정(안)" xfId="3555" xr:uid="{00000000-0005-0000-0000-0000D30D0000}"/>
    <cellStyle name="_적격(화산) _신령영천1_입찰_1.본실행 - 조정(안)_4.일신통신 가실행예산(재견적合)" xfId="3556" xr:uid="{00000000-0005-0000-0000-0000D40D0000}"/>
    <cellStyle name="_적격(화산) _신령영천1_입찰_1.본실행 - 조정(안)_을" xfId="3557" xr:uid="{00000000-0005-0000-0000-0000D50D0000}"/>
    <cellStyle name="_적격(화산) _신령영천1_입찰_4.일신통신 가실행예산(재견적合)" xfId="3558" xr:uid="{00000000-0005-0000-0000-0000D60D0000}"/>
    <cellStyle name="_적격(화산) _신령영천1_입찰_을" xfId="3559" xr:uid="{00000000-0005-0000-0000-0000D70D0000}"/>
    <cellStyle name="_적격(화산) _신령영천1_입찰_총괄 내역서" xfId="3560" xr:uid="{00000000-0005-0000-0000-0000D80D0000}"/>
    <cellStyle name="_적격(화산) _신령영천1_입찰_총괄 내역서_4.일신통신 가실행예산(재견적合)" xfId="3561" xr:uid="{00000000-0005-0000-0000-0000D90D0000}"/>
    <cellStyle name="_적격(화산) _신령영천1_입찰_총괄 내역서_을" xfId="3562" xr:uid="{00000000-0005-0000-0000-0000DA0D0000}"/>
    <cellStyle name="_적격(화산) _신천동주상복합신축공사" xfId="3563" xr:uid="{00000000-0005-0000-0000-0000DB0D0000}"/>
    <cellStyle name="_적격(화산) _안양소사자동제어단가" xfId="3564" xr:uid="{00000000-0005-0000-0000-0000DC0D0000}"/>
    <cellStyle name="_적격(화산) _안양소사자동제어단가_견적서양식" xfId="3565" xr:uid="{00000000-0005-0000-0000-0000DD0D0000}"/>
    <cellStyle name="_적격(화산) _용답동오피스텔가실행" xfId="3566" xr:uid="{00000000-0005-0000-0000-0000DE0D0000}"/>
    <cellStyle name="_적격(화산) _을" xfId="3567" xr:uid="{00000000-0005-0000-0000-0000DF0D0000}"/>
    <cellStyle name="_적격(화산) _적상무주IC도로(1공구)" xfId="3568" xr:uid="{00000000-0005-0000-0000-0000E00D0000}"/>
    <cellStyle name="_적격(화산) _적상무주IC도로(1공구)_구기동(제출)(95.0)(031121)" xfId="3569" xr:uid="{00000000-0005-0000-0000-0000E10D0000}"/>
    <cellStyle name="_적격(화산) _적상무주IC도로(1공구)_구기동레포츠센타제출" xfId="3570" xr:uid="{00000000-0005-0000-0000-0000E20D0000}"/>
    <cellStyle name="_적격(화산) _적상무주IC도로(1공구)_신천동주상복합신축공사" xfId="3571" xr:uid="{00000000-0005-0000-0000-0000E30D0000}"/>
    <cellStyle name="_적격(화산) _적상무주IC도로(1공구)_용답동오피스텔가실행" xfId="3572" xr:uid="{00000000-0005-0000-0000-0000E40D0000}"/>
    <cellStyle name="_적격(화산) _총괄 내역서" xfId="3573" xr:uid="{00000000-0005-0000-0000-0000E50D0000}"/>
    <cellStyle name="_적격(화산) _총괄 내역서_4.일신통신 가실행예산(재견적合)" xfId="3574" xr:uid="{00000000-0005-0000-0000-0000E60D0000}"/>
    <cellStyle name="_적격(화산) _총괄 내역서_을" xfId="3575" xr:uid="{00000000-0005-0000-0000-0000E70D0000}"/>
    <cellStyle name="_적격(화산) _투찰(안덕대정)" xfId="3576" xr:uid="{00000000-0005-0000-0000-0000E80D0000}"/>
    <cellStyle name="_적격(화산) _투찰(안덕대정)_1. 가실행예산(0629 도면기준)" xfId="3577" xr:uid="{00000000-0005-0000-0000-0000E90D0000}"/>
    <cellStyle name="_적격(화산) _투찰(안덕대정)_1. 가실행예산(0629 도면기준)_4.일신통신 가실행예산(재견적合)" xfId="3578" xr:uid="{00000000-0005-0000-0000-0000EA0D0000}"/>
    <cellStyle name="_적격(화산) _투찰(안덕대정)_1. 가실행예산(0629 도면기준)_을" xfId="3579" xr:uid="{00000000-0005-0000-0000-0000EB0D0000}"/>
    <cellStyle name="_적격(화산) _투찰(안덕대정)_1.본실행 - 조정(안)" xfId="3580" xr:uid="{00000000-0005-0000-0000-0000EC0D0000}"/>
    <cellStyle name="_적격(화산) _투찰(안덕대정)_1.본실행 - 조정(안)_4.일신통신 가실행예산(재견적合)" xfId="3581" xr:uid="{00000000-0005-0000-0000-0000ED0D0000}"/>
    <cellStyle name="_적격(화산) _투찰(안덕대정)_1.본실행 - 조정(안)_을" xfId="3582" xr:uid="{00000000-0005-0000-0000-0000EE0D0000}"/>
    <cellStyle name="_적격(화산) _투찰(안덕대정)_4.일신통신 가실행예산(재견적合)" xfId="3583" xr:uid="{00000000-0005-0000-0000-0000EF0D0000}"/>
    <cellStyle name="_적격(화산) _투찰(안덕대정)_을" xfId="3584" xr:uid="{00000000-0005-0000-0000-0000F00D0000}"/>
    <cellStyle name="_적격(화산) _투찰(안덕대정)_총괄 내역서" xfId="3585" xr:uid="{00000000-0005-0000-0000-0000F10D0000}"/>
    <cellStyle name="_적격(화산) _투찰(안덕대정)_총괄 내역서_4.일신통신 가실행예산(재견적合)" xfId="3586" xr:uid="{00000000-0005-0000-0000-0000F20D0000}"/>
    <cellStyle name="_적격(화산) _투찰(안덕대정)_총괄 내역서_을" xfId="3587" xr:uid="{00000000-0005-0000-0000-0000F30D0000}"/>
    <cellStyle name="_적격(화산) _투찰(안덕대정)_투찰_대둔산" xfId="3588" xr:uid="{00000000-0005-0000-0000-0000F40D0000}"/>
    <cellStyle name="_적격(화산) _투찰(안덕대정)_투찰_대둔산_1. 가실행예산(0629 도면기준)" xfId="3589" xr:uid="{00000000-0005-0000-0000-0000F50D0000}"/>
    <cellStyle name="_적격(화산) _투찰(안덕대정)_투찰_대둔산_1. 가실행예산(0629 도면기준)_4.일신통신 가실행예산(재견적合)" xfId="3590" xr:uid="{00000000-0005-0000-0000-0000F60D0000}"/>
    <cellStyle name="_적격(화산) _투찰(안덕대정)_투찰_대둔산_1. 가실행예산(0629 도면기준)_을" xfId="3591" xr:uid="{00000000-0005-0000-0000-0000F70D0000}"/>
    <cellStyle name="_적격(화산) _투찰(안덕대정)_투찰_대둔산_1.본실행 - 조정(안)" xfId="3592" xr:uid="{00000000-0005-0000-0000-0000F80D0000}"/>
    <cellStyle name="_적격(화산) _투찰(안덕대정)_투찰_대둔산_1.본실행 - 조정(안)_4.일신통신 가실행예산(재견적合)" xfId="3593" xr:uid="{00000000-0005-0000-0000-0000F90D0000}"/>
    <cellStyle name="_적격(화산) _투찰(안덕대정)_투찰_대둔산_1.본실행 - 조정(안)_을" xfId="3594" xr:uid="{00000000-0005-0000-0000-0000FA0D0000}"/>
    <cellStyle name="_적격(화산) _투찰(안덕대정)_투찰_대둔산_4.일신통신 가실행예산(재견적合)" xfId="3595" xr:uid="{00000000-0005-0000-0000-0000FB0D0000}"/>
    <cellStyle name="_적격(화산) _투찰(안덕대정)_투찰_대둔산_을" xfId="3596" xr:uid="{00000000-0005-0000-0000-0000FC0D0000}"/>
    <cellStyle name="_적격(화산) _투찰(안덕대정)_투찰_대둔산_총괄 내역서" xfId="3597" xr:uid="{00000000-0005-0000-0000-0000FD0D0000}"/>
    <cellStyle name="_적격(화산) _투찰(안덕대정)_투찰_대둔산_총괄 내역서_4.일신통신 가실행예산(재견적合)" xfId="3598" xr:uid="{00000000-0005-0000-0000-0000FE0D0000}"/>
    <cellStyle name="_적격(화산) _투찰(안덕대정)_투찰_대둔산_총괄 내역서_을" xfId="3599" xr:uid="{00000000-0005-0000-0000-0000FF0D0000}"/>
    <cellStyle name="_적격(화산) _투찰(안덕대정)1" xfId="3600" xr:uid="{00000000-0005-0000-0000-0000000E0000}"/>
    <cellStyle name="_적격(화산) _투찰(안덕대정)1_1. 가실행예산(0629 도면기준)" xfId="3601" xr:uid="{00000000-0005-0000-0000-0000010E0000}"/>
    <cellStyle name="_적격(화산) _투찰(안덕대정)1_1. 가실행예산(0629 도면기준)_4.일신통신 가실행예산(재견적合)" xfId="3602" xr:uid="{00000000-0005-0000-0000-0000020E0000}"/>
    <cellStyle name="_적격(화산) _투찰(안덕대정)1_1. 가실행예산(0629 도면기준)_을" xfId="3603" xr:uid="{00000000-0005-0000-0000-0000030E0000}"/>
    <cellStyle name="_적격(화산) _투찰(안덕대정)1_1.본실행 - 조정(안)" xfId="3604" xr:uid="{00000000-0005-0000-0000-0000040E0000}"/>
    <cellStyle name="_적격(화산) _투찰(안덕대정)1_1.본실행 - 조정(안)_4.일신통신 가실행예산(재견적合)" xfId="3605" xr:uid="{00000000-0005-0000-0000-0000050E0000}"/>
    <cellStyle name="_적격(화산) _투찰(안덕대정)1_1.본실행 - 조정(안)_을" xfId="3606" xr:uid="{00000000-0005-0000-0000-0000060E0000}"/>
    <cellStyle name="_적격(화산) _투찰(안덕대정)1_4.일신통신 가실행예산(재견적合)" xfId="3607" xr:uid="{00000000-0005-0000-0000-0000070E0000}"/>
    <cellStyle name="_적격(화산) _투찰(안덕대정)1_을" xfId="3608" xr:uid="{00000000-0005-0000-0000-0000080E0000}"/>
    <cellStyle name="_적격(화산) _투찰(안덕대정)1_총괄 내역서" xfId="3609" xr:uid="{00000000-0005-0000-0000-0000090E0000}"/>
    <cellStyle name="_적격(화산) _투찰(안덕대정)1_총괄 내역서_4.일신통신 가실행예산(재견적合)" xfId="3610" xr:uid="{00000000-0005-0000-0000-00000A0E0000}"/>
    <cellStyle name="_적격(화산) _투찰(안덕대정)1_총괄 내역서_을" xfId="3611" xr:uid="{00000000-0005-0000-0000-00000B0E0000}"/>
    <cellStyle name="_적격(화산) _투찰(안덕대정)1_투찰_대둔산" xfId="3612" xr:uid="{00000000-0005-0000-0000-00000C0E0000}"/>
    <cellStyle name="_적격(화산) _투찰(안덕대정)1_투찰_대둔산_1. 가실행예산(0629 도면기준)" xfId="3613" xr:uid="{00000000-0005-0000-0000-00000D0E0000}"/>
    <cellStyle name="_적격(화산) _투찰(안덕대정)1_투찰_대둔산_1. 가실행예산(0629 도면기준)_4.일신통신 가실행예산(재견적合)" xfId="3614" xr:uid="{00000000-0005-0000-0000-00000E0E0000}"/>
    <cellStyle name="_적격(화산) _투찰(안덕대정)1_투찰_대둔산_1. 가실행예산(0629 도면기준)_을" xfId="3615" xr:uid="{00000000-0005-0000-0000-00000F0E0000}"/>
    <cellStyle name="_적격(화산) _투찰(안덕대정)1_투찰_대둔산_1.본실행 - 조정(안)" xfId="3616" xr:uid="{00000000-0005-0000-0000-0000100E0000}"/>
    <cellStyle name="_적격(화산) _투찰(안덕대정)1_투찰_대둔산_1.본실행 - 조정(안)_4.일신통신 가실행예산(재견적合)" xfId="3617" xr:uid="{00000000-0005-0000-0000-0000110E0000}"/>
    <cellStyle name="_적격(화산) _투찰(안덕대정)1_투찰_대둔산_1.본실행 - 조정(안)_을" xfId="3618" xr:uid="{00000000-0005-0000-0000-0000120E0000}"/>
    <cellStyle name="_적격(화산) _투찰(안덕대정)1_투찰_대둔산_4.일신통신 가실행예산(재견적合)" xfId="3619" xr:uid="{00000000-0005-0000-0000-0000130E0000}"/>
    <cellStyle name="_적격(화산) _투찰(안덕대정)1_투찰_대둔산_을" xfId="3620" xr:uid="{00000000-0005-0000-0000-0000140E0000}"/>
    <cellStyle name="_적격(화산) _투찰(안덕대정)1_투찰_대둔산_총괄 내역서" xfId="3621" xr:uid="{00000000-0005-0000-0000-0000150E0000}"/>
    <cellStyle name="_적격(화산) _투찰(안덕대정)1_투찰_대둔산_총괄 내역서_4.일신통신 가실행예산(재견적合)" xfId="3622" xr:uid="{00000000-0005-0000-0000-0000160E0000}"/>
    <cellStyle name="_적격(화산) _투찰(안덕대정)1_투찰_대둔산_총괄 내역서_을" xfId="3623" xr:uid="{00000000-0005-0000-0000-0000170E0000}"/>
    <cellStyle name="_적격(화산) _투찰_대둔산" xfId="3624" xr:uid="{00000000-0005-0000-0000-0000180E0000}"/>
    <cellStyle name="_적격(화산) _투찰_대둔산_1. 가실행예산(0629 도면기준)" xfId="3625" xr:uid="{00000000-0005-0000-0000-0000190E0000}"/>
    <cellStyle name="_적격(화산) _투찰_대둔산_1. 가실행예산(0629 도면기준)_4.일신통신 가실행예산(재견적合)" xfId="3626" xr:uid="{00000000-0005-0000-0000-00001A0E0000}"/>
    <cellStyle name="_적격(화산) _투찰_대둔산_1. 가실행예산(0629 도면기준)_을" xfId="3627" xr:uid="{00000000-0005-0000-0000-00001B0E0000}"/>
    <cellStyle name="_적격(화산) _투찰_대둔산_1.본실행 - 조정(안)" xfId="3628" xr:uid="{00000000-0005-0000-0000-00001C0E0000}"/>
    <cellStyle name="_적격(화산) _투찰_대둔산_1.본실행 - 조정(안)_4.일신통신 가실행예산(재견적合)" xfId="3629" xr:uid="{00000000-0005-0000-0000-00001D0E0000}"/>
    <cellStyle name="_적격(화산) _투찰_대둔산_1.본실행 - 조정(안)_을" xfId="3630" xr:uid="{00000000-0005-0000-0000-00001E0E0000}"/>
    <cellStyle name="_적격(화산) _투찰_대둔산_4.일신통신 가실행예산(재견적合)" xfId="3631" xr:uid="{00000000-0005-0000-0000-00001F0E0000}"/>
    <cellStyle name="_적격(화산) _투찰_대둔산_을" xfId="3632" xr:uid="{00000000-0005-0000-0000-0000200E0000}"/>
    <cellStyle name="_적격(화산) _투찰_대둔산_총괄 내역서" xfId="3633" xr:uid="{00000000-0005-0000-0000-0000210E0000}"/>
    <cellStyle name="_적격(화산) _투찰_대둔산_총괄 내역서_4.일신통신 가실행예산(재견적合)" xfId="3634" xr:uid="{00000000-0005-0000-0000-0000220E0000}"/>
    <cellStyle name="_적격(화산) _투찰_대둔산_총괄 내역서_을" xfId="3635" xr:uid="{00000000-0005-0000-0000-0000230E0000}"/>
    <cellStyle name="_적격(화산) _투찰내역" xfId="3636" xr:uid="{00000000-0005-0000-0000-0000240E0000}"/>
    <cellStyle name="_적격(화산) _투찰내역_1. 가실행예산(0629 도면기준)" xfId="3637" xr:uid="{00000000-0005-0000-0000-0000250E0000}"/>
    <cellStyle name="_적격(화산) _투찰내역_1. 가실행예산(0629 도면기준)_4.일신통신 가실행예산(재견적合)" xfId="3638" xr:uid="{00000000-0005-0000-0000-0000260E0000}"/>
    <cellStyle name="_적격(화산) _투찰내역_1. 가실행예산(0629 도면기준)_을" xfId="3639" xr:uid="{00000000-0005-0000-0000-0000270E0000}"/>
    <cellStyle name="_적격(화산) _투찰내역_1.본실행 - 조정(안)" xfId="3640" xr:uid="{00000000-0005-0000-0000-0000280E0000}"/>
    <cellStyle name="_적격(화산) _투찰내역_1.본실행 - 조정(안)_4.일신통신 가실행예산(재견적合)" xfId="3641" xr:uid="{00000000-0005-0000-0000-0000290E0000}"/>
    <cellStyle name="_적격(화산) _투찰내역_1.본실행 - 조정(안)_을" xfId="3642" xr:uid="{00000000-0005-0000-0000-00002A0E0000}"/>
    <cellStyle name="_적격(화산) _투찰내역_4.일신통신 가실행예산(재견적合)" xfId="3643" xr:uid="{00000000-0005-0000-0000-00002B0E0000}"/>
    <cellStyle name="_적격(화산) _투찰내역_을" xfId="3644" xr:uid="{00000000-0005-0000-0000-00002C0E0000}"/>
    <cellStyle name="_적격(화산) _투찰내역_총괄 내역서" xfId="3645" xr:uid="{00000000-0005-0000-0000-00002D0E0000}"/>
    <cellStyle name="_적격(화산) _투찰내역_총괄 내역서_4.일신통신 가실행예산(재견적合)" xfId="3646" xr:uid="{00000000-0005-0000-0000-00002E0E0000}"/>
    <cellStyle name="_적격(화산) _투찰내역_총괄 내역서_을" xfId="3647" xr:uid="{00000000-0005-0000-0000-00002F0E0000}"/>
    <cellStyle name="_적격(화산) _호남권투찰1" xfId="3648" xr:uid="{00000000-0005-0000-0000-0000300E0000}"/>
    <cellStyle name="_적격(화산) _호남권투찰1_1. 가실행예산(0629 도면기준)" xfId="3649" xr:uid="{00000000-0005-0000-0000-0000310E0000}"/>
    <cellStyle name="_적격(화산) _호남권투찰1_1. 가실행예산(0629 도면기준)_4.일신통신 가실행예산(재견적合)" xfId="3650" xr:uid="{00000000-0005-0000-0000-0000320E0000}"/>
    <cellStyle name="_적격(화산) _호남권투찰1_1. 가실행예산(0629 도면기준)_을" xfId="3651" xr:uid="{00000000-0005-0000-0000-0000330E0000}"/>
    <cellStyle name="_적격(화산) _호남권투찰1_1.본실행 - 조정(안)" xfId="3652" xr:uid="{00000000-0005-0000-0000-0000340E0000}"/>
    <cellStyle name="_적격(화산) _호남권투찰1_1.본실행 - 조정(안)_4.일신통신 가실행예산(재견적合)" xfId="3653" xr:uid="{00000000-0005-0000-0000-0000350E0000}"/>
    <cellStyle name="_적격(화산) _호남권투찰1_1.본실행 - 조정(안)_을" xfId="3654" xr:uid="{00000000-0005-0000-0000-0000360E0000}"/>
    <cellStyle name="_적격(화산) _호남권투찰1_4.일신통신 가실행예산(재견적合)" xfId="3655" xr:uid="{00000000-0005-0000-0000-0000370E0000}"/>
    <cellStyle name="_적격(화산) _호남권투찰1_을" xfId="3656" xr:uid="{00000000-0005-0000-0000-0000380E0000}"/>
    <cellStyle name="_적격(화산) _호남권투찰1_총괄 내역서" xfId="3657" xr:uid="{00000000-0005-0000-0000-0000390E0000}"/>
    <cellStyle name="_적격(화산) _호남권투찰1_총괄 내역서_4.일신통신 가실행예산(재견적合)" xfId="3658" xr:uid="{00000000-0005-0000-0000-00003A0E0000}"/>
    <cellStyle name="_적격(화산) _호남권투찰1_총괄 내역서_을" xfId="3659" xr:uid="{00000000-0005-0000-0000-00003B0E0000}"/>
    <cellStyle name="_전등설비공사" xfId="3660" xr:uid="{00000000-0005-0000-0000-00003C0E0000}"/>
    <cellStyle name="_전력간선" xfId="3661" xr:uid="{00000000-0005-0000-0000-00003D0E0000}"/>
    <cellStyle name="_전열" xfId="3662" xr:uid="{00000000-0005-0000-0000-00003E0E0000}"/>
    <cellStyle name="_점수산정총괄(조달청)" xfId="3663" xr:uid="{00000000-0005-0000-0000-00003F0E0000}"/>
    <cellStyle name="_정릉5구역 아파트" xfId="3664" xr:uid="{00000000-0005-0000-0000-0000400E0000}"/>
    <cellStyle name="_정산-1,2층일반전기" xfId="3665" xr:uid="{00000000-0005-0000-0000-0000410E0000}"/>
    <cellStyle name="_정산세부내역(건설사정)" xfId="3666" xr:uid="{00000000-0005-0000-0000-0000420E0000}"/>
    <cellStyle name="_정산일반전기공사" xfId="3667" xr:uid="{00000000-0005-0000-0000-0000430E0000}"/>
    <cellStyle name="_제1회기성신청서(6월)" xfId="3668" xr:uid="{00000000-0005-0000-0000-0000440E0000}"/>
    <cellStyle name="_제주호텔" xfId="3669" xr:uid="{00000000-0005-0000-0000-0000450E0000}"/>
    <cellStyle name="_제출완료-공항운송가실행(0919)" xfId="3670" xr:uid="{00000000-0005-0000-0000-0000460E0000}"/>
    <cellStyle name="_제출용병천하수(지역관로1)" xfId="3671" xr:uid="{00000000-0005-0000-0000-0000470E0000}"/>
    <cellStyle name="_제출용병천하수(지역관로1)_광주평동실행" xfId="3672" xr:uid="{00000000-0005-0000-0000-0000480E0000}"/>
    <cellStyle name="_제출용병천하수(지역관로1)_광주평동실행_구기동(제출)(95.0)(031121)" xfId="3673" xr:uid="{00000000-0005-0000-0000-0000490E0000}"/>
    <cellStyle name="_제출용병천하수(지역관로1)_광주평동실행_구기동레포츠센타제출" xfId="3674" xr:uid="{00000000-0005-0000-0000-00004A0E0000}"/>
    <cellStyle name="_제출용병천하수(지역관로1)_광주평동실행_번암견적의뢰(협력)" xfId="3675" xr:uid="{00000000-0005-0000-0000-00004B0E0000}"/>
    <cellStyle name="_제출용병천하수(지역관로1)_광주평동실행_번암견적의뢰(협력)_구기동(제출)(95.0)(031121)" xfId="3676" xr:uid="{00000000-0005-0000-0000-00004C0E0000}"/>
    <cellStyle name="_제출용병천하수(지역관로1)_광주평동실행_번암견적의뢰(협력)_구기동레포츠센타제출" xfId="3677" xr:uid="{00000000-0005-0000-0000-00004D0E0000}"/>
    <cellStyle name="_제출용병천하수(지역관로1)_광주평동실행_번암견적의뢰(협력)_신천동주상복합신축공사" xfId="3678" xr:uid="{00000000-0005-0000-0000-00004E0E0000}"/>
    <cellStyle name="_제출용병천하수(지역관로1)_광주평동실행_번암견적의뢰(협력)_용답동오피스텔가실행" xfId="3679" xr:uid="{00000000-0005-0000-0000-00004F0E0000}"/>
    <cellStyle name="_제출용병천하수(지역관로1)_광주평동실행_신천동주상복합신축공사" xfId="3680" xr:uid="{00000000-0005-0000-0000-0000500E0000}"/>
    <cellStyle name="_제출용병천하수(지역관로1)_광주평동실행_용답동오피스텔가실행" xfId="3681" xr:uid="{00000000-0005-0000-0000-0000510E0000}"/>
    <cellStyle name="_제출용병천하수(지역관로1)_광주평동품의1" xfId="3682" xr:uid="{00000000-0005-0000-0000-0000520E0000}"/>
    <cellStyle name="_제출용병천하수(지역관로1)_광주평동품의1_구기동(제출)(95.0)(031121)" xfId="3683" xr:uid="{00000000-0005-0000-0000-0000530E0000}"/>
    <cellStyle name="_제출용병천하수(지역관로1)_광주평동품의1_구기동레포츠센타제출" xfId="3684" xr:uid="{00000000-0005-0000-0000-0000540E0000}"/>
    <cellStyle name="_제출용병천하수(지역관로1)_광주평동품의1_무안-광주2공구(협력)수정" xfId="3685" xr:uid="{00000000-0005-0000-0000-0000550E0000}"/>
    <cellStyle name="_제출용병천하수(지역관로1)_광주평동품의1_무안-광주2공구(협력)수정_구기동(제출)(95.0)(031121)" xfId="3686" xr:uid="{00000000-0005-0000-0000-0000560E0000}"/>
    <cellStyle name="_제출용병천하수(지역관로1)_광주평동품의1_무안-광주2공구(협력)수정_구기동레포츠센타제출" xfId="3687" xr:uid="{00000000-0005-0000-0000-0000570E0000}"/>
    <cellStyle name="_제출용병천하수(지역관로1)_광주평동품의1_무안-광주2공구(협력)수정_신천동주상복합신축공사" xfId="3688" xr:uid="{00000000-0005-0000-0000-0000580E0000}"/>
    <cellStyle name="_제출용병천하수(지역관로1)_광주평동품의1_무안-광주2공구(협력)수정_용답동오피스텔가실행" xfId="3689" xr:uid="{00000000-0005-0000-0000-0000590E0000}"/>
    <cellStyle name="_제출용병천하수(지역관로1)_광주평동품의1_번암견적의뢰(협력)" xfId="3690" xr:uid="{00000000-0005-0000-0000-00005A0E0000}"/>
    <cellStyle name="_제출용병천하수(지역관로1)_광주평동품의1_번암견적의뢰(협력)_구기동(제출)(95.0)(031121)" xfId="3691" xr:uid="{00000000-0005-0000-0000-00005B0E0000}"/>
    <cellStyle name="_제출용병천하수(지역관로1)_광주평동품의1_번암견적의뢰(협력)_구기동레포츠센타제출" xfId="3692" xr:uid="{00000000-0005-0000-0000-00005C0E0000}"/>
    <cellStyle name="_제출용병천하수(지역관로1)_광주평동품의1_번암견적의뢰(협력)_신천동주상복합신축공사" xfId="3693" xr:uid="{00000000-0005-0000-0000-00005D0E0000}"/>
    <cellStyle name="_제출용병천하수(지역관로1)_광주평동품의1_번암견적의뢰(협력)_용답동오피스텔가실행" xfId="3694" xr:uid="{00000000-0005-0000-0000-00005E0E0000}"/>
    <cellStyle name="_제출용병천하수(지역관로1)_광주평동품의1_신천동주상복합신축공사" xfId="3695" xr:uid="{00000000-0005-0000-0000-00005F0E0000}"/>
    <cellStyle name="_제출용병천하수(지역관로1)_광주평동품의1_용답동오피스텔가실행" xfId="3696" xr:uid="{00000000-0005-0000-0000-0000600E0000}"/>
    <cellStyle name="_제출용병천하수(지역관로1)_광주평동품의1_적상무주IC도로(1공구)" xfId="3697" xr:uid="{00000000-0005-0000-0000-0000610E0000}"/>
    <cellStyle name="_제출용병천하수(지역관로1)_광주평동품의1_적상무주IC도로(1공구)_구기동(제출)(95.0)(031121)" xfId="3698" xr:uid="{00000000-0005-0000-0000-0000620E0000}"/>
    <cellStyle name="_제출용병천하수(지역관로1)_광주평동품의1_적상무주IC도로(1공구)_구기동레포츠센타제출" xfId="3699" xr:uid="{00000000-0005-0000-0000-0000630E0000}"/>
    <cellStyle name="_제출용병천하수(지역관로1)_광주평동품의1_적상무주IC도로(1공구)_신천동주상복합신축공사" xfId="3700" xr:uid="{00000000-0005-0000-0000-0000640E0000}"/>
    <cellStyle name="_제출용병천하수(지역관로1)_광주평동품의1_적상무주IC도로(1공구)_용답동오피스텔가실행" xfId="3701" xr:uid="{00000000-0005-0000-0000-0000650E0000}"/>
    <cellStyle name="_제출용병천하수(지역관로1)_구기동(제출)(95.0)(031121)" xfId="3702" xr:uid="{00000000-0005-0000-0000-0000660E0000}"/>
    <cellStyle name="_제출용병천하수(지역관로1)_구기동레포츠센타제출" xfId="3703" xr:uid="{00000000-0005-0000-0000-0000670E0000}"/>
    <cellStyle name="_제출용병천하수(지역관로1)_기장하수실행1" xfId="3704" xr:uid="{00000000-0005-0000-0000-0000680E0000}"/>
    <cellStyle name="_제출용병천하수(지역관로1)_기장하수실행1_구기동(제출)(95.0)(031121)" xfId="3705" xr:uid="{00000000-0005-0000-0000-0000690E0000}"/>
    <cellStyle name="_제출용병천하수(지역관로1)_기장하수실행1_구기동레포츠센타제출" xfId="3706" xr:uid="{00000000-0005-0000-0000-00006A0E0000}"/>
    <cellStyle name="_제출용병천하수(지역관로1)_기장하수실행1_번암견적의뢰(협력)" xfId="3707" xr:uid="{00000000-0005-0000-0000-00006B0E0000}"/>
    <cellStyle name="_제출용병천하수(지역관로1)_기장하수실행1_번암견적의뢰(협력)_구기동(제출)(95.0)(031121)" xfId="3708" xr:uid="{00000000-0005-0000-0000-00006C0E0000}"/>
    <cellStyle name="_제출용병천하수(지역관로1)_기장하수실행1_번암견적의뢰(협력)_구기동레포츠센타제출" xfId="3709" xr:uid="{00000000-0005-0000-0000-00006D0E0000}"/>
    <cellStyle name="_제출용병천하수(지역관로1)_기장하수실행1_번암견적의뢰(협력)_신천동주상복합신축공사" xfId="3710" xr:uid="{00000000-0005-0000-0000-00006E0E0000}"/>
    <cellStyle name="_제출용병천하수(지역관로1)_기장하수실행1_번암견적의뢰(협력)_용답동오피스텔가실행" xfId="3711" xr:uid="{00000000-0005-0000-0000-00006F0E0000}"/>
    <cellStyle name="_제출용병천하수(지역관로1)_기장하수실행1_신천동주상복합신축공사" xfId="3712" xr:uid="{00000000-0005-0000-0000-0000700E0000}"/>
    <cellStyle name="_제출용병천하수(지역관로1)_기장하수실행1_용답동오피스텔가실행" xfId="3713" xr:uid="{00000000-0005-0000-0000-0000710E0000}"/>
    <cellStyle name="_제출용병천하수(지역관로1)_무안-광주2공구(협력)수정" xfId="3714" xr:uid="{00000000-0005-0000-0000-0000720E0000}"/>
    <cellStyle name="_제출용병천하수(지역관로1)_무안-광주2공구(협력)수정_구기동(제출)(95.0)(031121)" xfId="3715" xr:uid="{00000000-0005-0000-0000-0000730E0000}"/>
    <cellStyle name="_제출용병천하수(지역관로1)_무안-광주2공구(협력)수정_구기동레포츠센타제출" xfId="3716" xr:uid="{00000000-0005-0000-0000-0000740E0000}"/>
    <cellStyle name="_제출용병천하수(지역관로1)_무안-광주2공구(협력)수정_신천동주상복합신축공사" xfId="3717" xr:uid="{00000000-0005-0000-0000-0000750E0000}"/>
    <cellStyle name="_제출용병천하수(지역관로1)_무안-광주2공구(협력)수정_용답동오피스텔가실행" xfId="3718" xr:uid="{00000000-0005-0000-0000-0000760E0000}"/>
    <cellStyle name="_제출용병천하수(지역관로1)_번암견적의뢰(협력)" xfId="3719" xr:uid="{00000000-0005-0000-0000-0000770E0000}"/>
    <cellStyle name="_제출용병천하수(지역관로1)_번암견적의뢰(협력)_구기동(제출)(95.0)(031121)" xfId="3720" xr:uid="{00000000-0005-0000-0000-0000780E0000}"/>
    <cellStyle name="_제출용병천하수(지역관로1)_번암견적의뢰(협력)_구기동레포츠센타제출" xfId="3721" xr:uid="{00000000-0005-0000-0000-0000790E0000}"/>
    <cellStyle name="_제출용병천하수(지역관로1)_번암견적의뢰(협력)_신천동주상복합신축공사" xfId="3722" xr:uid="{00000000-0005-0000-0000-00007A0E0000}"/>
    <cellStyle name="_제출용병천하수(지역관로1)_번암견적의뢰(협력)_용답동오피스텔가실행" xfId="3723" xr:uid="{00000000-0005-0000-0000-00007B0E0000}"/>
    <cellStyle name="_제출용병천하수(지역관로1)_송학실행안" xfId="3724" xr:uid="{00000000-0005-0000-0000-00007C0E0000}"/>
    <cellStyle name="_제출용병천하수(지역관로1)_송학실행안_구기동(제출)(95.0)(031121)" xfId="3725" xr:uid="{00000000-0005-0000-0000-00007D0E0000}"/>
    <cellStyle name="_제출용병천하수(지역관로1)_송학실행안_구기동레포츠센타제출" xfId="3726" xr:uid="{00000000-0005-0000-0000-00007E0E0000}"/>
    <cellStyle name="_제출용병천하수(지역관로1)_송학실행안_번암견적의뢰(협력)" xfId="3727" xr:uid="{00000000-0005-0000-0000-00007F0E0000}"/>
    <cellStyle name="_제출용병천하수(지역관로1)_송학실행안_번암견적의뢰(협력)_구기동(제출)(95.0)(031121)" xfId="3728" xr:uid="{00000000-0005-0000-0000-0000800E0000}"/>
    <cellStyle name="_제출용병천하수(지역관로1)_송학실행안_번암견적의뢰(협력)_구기동레포츠센타제출" xfId="3729" xr:uid="{00000000-0005-0000-0000-0000810E0000}"/>
    <cellStyle name="_제출용병천하수(지역관로1)_송학실행안_번암견적의뢰(협력)_신천동주상복합신축공사" xfId="3730" xr:uid="{00000000-0005-0000-0000-0000820E0000}"/>
    <cellStyle name="_제출용병천하수(지역관로1)_송학실행안_번암견적의뢰(협력)_용답동오피스텔가실행" xfId="3731" xr:uid="{00000000-0005-0000-0000-0000830E0000}"/>
    <cellStyle name="_제출용병천하수(지역관로1)_송학실행안_신천동주상복합신축공사" xfId="3732" xr:uid="{00000000-0005-0000-0000-0000840E0000}"/>
    <cellStyle name="_제출용병천하수(지역관로1)_송학실행안_용답동오피스텔가실행" xfId="3733" xr:uid="{00000000-0005-0000-0000-0000850E0000}"/>
    <cellStyle name="_제출용병천하수(지역관로1)_송학하수투찰" xfId="3734" xr:uid="{00000000-0005-0000-0000-0000860E0000}"/>
    <cellStyle name="_제출용병천하수(지역관로1)_송학하수투찰_구기동(제출)(95.0)(031121)" xfId="3735" xr:uid="{00000000-0005-0000-0000-0000870E0000}"/>
    <cellStyle name="_제출용병천하수(지역관로1)_송학하수투찰_구기동레포츠센타제출" xfId="3736" xr:uid="{00000000-0005-0000-0000-0000880E0000}"/>
    <cellStyle name="_제출용병천하수(지역관로1)_송학하수투찰_번암견적의뢰(협력)" xfId="3737" xr:uid="{00000000-0005-0000-0000-0000890E0000}"/>
    <cellStyle name="_제출용병천하수(지역관로1)_송학하수투찰_번암견적의뢰(협력)_구기동(제출)(95.0)(031121)" xfId="3738" xr:uid="{00000000-0005-0000-0000-00008A0E0000}"/>
    <cellStyle name="_제출용병천하수(지역관로1)_송학하수투찰_번암견적의뢰(협력)_구기동레포츠센타제출" xfId="3739" xr:uid="{00000000-0005-0000-0000-00008B0E0000}"/>
    <cellStyle name="_제출용병천하수(지역관로1)_송학하수투찰_번암견적의뢰(협력)_신천동주상복합신축공사" xfId="3740" xr:uid="{00000000-0005-0000-0000-00008C0E0000}"/>
    <cellStyle name="_제출용병천하수(지역관로1)_송학하수투찰_번암견적의뢰(협력)_용답동오피스텔가실행" xfId="3741" xr:uid="{00000000-0005-0000-0000-00008D0E0000}"/>
    <cellStyle name="_제출용병천하수(지역관로1)_송학하수투찰_신천동주상복합신축공사" xfId="3742" xr:uid="{00000000-0005-0000-0000-00008E0E0000}"/>
    <cellStyle name="_제출용병천하수(지역관로1)_송학하수투찰_용답동오피스텔가실행" xfId="3743" xr:uid="{00000000-0005-0000-0000-00008F0E0000}"/>
    <cellStyle name="_제출용병천하수(지역관로1)_송학하수품의(설계넣고)" xfId="3744" xr:uid="{00000000-0005-0000-0000-0000900E0000}"/>
    <cellStyle name="_제출용병천하수(지역관로1)_송학하수품의(설계넣고)_구기동(제출)(95.0)(031121)" xfId="3745" xr:uid="{00000000-0005-0000-0000-0000910E0000}"/>
    <cellStyle name="_제출용병천하수(지역관로1)_송학하수품의(설계넣고)_구기동레포츠센타제출" xfId="3746" xr:uid="{00000000-0005-0000-0000-0000920E0000}"/>
    <cellStyle name="_제출용병천하수(지역관로1)_송학하수품의(설계넣고)_무안-광주2공구(협력)수정" xfId="3747" xr:uid="{00000000-0005-0000-0000-0000930E0000}"/>
    <cellStyle name="_제출용병천하수(지역관로1)_송학하수품의(설계넣고)_무안-광주2공구(협력)수정_구기동(제출)(95.0)(031121)" xfId="3748" xr:uid="{00000000-0005-0000-0000-0000940E0000}"/>
    <cellStyle name="_제출용병천하수(지역관로1)_송학하수품의(설계넣고)_무안-광주2공구(협력)수정_구기동레포츠센타제출" xfId="3749" xr:uid="{00000000-0005-0000-0000-0000950E0000}"/>
    <cellStyle name="_제출용병천하수(지역관로1)_송학하수품의(설계넣고)_무안-광주2공구(협력)수정_신천동주상복합신축공사" xfId="3750" xr:uid="{00000000-0005-0000-0000-0000960E0000}"/>
    <cellStyle name="_제출용병천하수(지역관로1)_송학하수품의(설계넣고)_무안-광주2공구(협력)수정_용답동오피스텔가실행" xfId="3751" xr:uid="{00000000-0005-0000-0000-0000970E0000}"/>
    <cellStyle name="_제출용병천하수(지역관로1)_송학하수품의(설계넣고)_번암견적의뢰(협력)" xfId="3752" xr:uid="{00000000-0005-0000-0000-0000980E0000}"/>
    <cellStyle name="_제출용병천하수(지역관로1)_송학하수품의(설계넣고)_번암견적의뢰(협력)_구기동(제출)(95.0)(031121)" xfId="3753" xr:uid="{00000000-0005-0000-0000-0000990E0000}"/>
    <cellStyle name="_제출용병천하수(지역관로1)_송학하수품의(설계넣고)_번암견적의뢰(협력)_구기동레포츠센타제출" xfId="3754" xr:uid="{00000000-0005-0000-0000-00009A0E0000}"/>
    <cellStyle name="_제출용병천하수(지역관로1)_송학하수품의(설계넣고)_번암견적의뢰(협력)_신천동주상복합신축공사" xfId="3755" xr:uid="{00000000-0005-0000-0000-00009B0E0000}"/>
    <cellStyle name="_제출용병천하수(지역관로1)_송학하수품의(설계넣고)_번암견적의뢰(협력)_용답동오피스텔가실행" xfId="3756" xr:uid="{00000000-0005-0000-0000-00009C0E0000}"/>
    <cellStyle name="_제출용병천하수(지역관로1)_송학하수품의(설계넣고)_신천동주상복합신축공사" xfId="3757" xr:uid="{00000000-0005-0000-0000-00009D0E0000}"/>
    <cellStyle name="_제출용병천하수(지역관로1)_송학하수품의(설계넣고)_용답동오피스텔가실행" xfId="3758" xr:uid="{00000000-0005-0000-0000-00009E0E0000}"/>
    <cellStyle name="_제출용병천하수(지역관로1)_송학하수품의(설계넣고)_적상무주IC도로(1공구)" xfId="3759" xr:uid="{00000000-0005-0000-0000-00009F0E0000}"/>
    <cellStyle name="_제출용병천하수(지역관로1)_송학하수품의(설계넣고)_적상무주IC도로(1공구)_구기동(제출)(95.0)(031121)" xfId="3760" xr:uid="{00000000-0005-0000-0000-0000A00E0000}"/>
    <cellStyle name="_제출용병천하수(지역관로1)_송학하수품의(설계넣고)_적상무주IC도로(1공구)_구기동레포츠센타제출" xfId="3761" xr:uid="{00000000-0005-0000-0000-0000A10E0000}"/>
    <cellStyle name="_제출용병천하수(지역관로1)_송학하수품의(설계넣고)_적상무주IC도로(1공구)_신천동주상복합신축공사" xfId="3762" xr:uid="{00000000-0005-0000-0000-0000A20E0000}"/>
    <cellStyle name="_제출용병천하수(지역관로1)_송학하수품의(설계넣고)_적상무주IC도로(1공구)_용답동오피스텔가실행" xfId="3763" xr:uid="{00000000-0005-0000-0000-0000A30E0000}"/>
    <cellStyle name="_제출용병천하수(지역관로1)_신천동주상복합신축공사" xfId="3764" xr:uid="{00000000-0005-0000-0000-0000A40E0000}"/>
    <cellStyle name="_제출용병천하수(지역관로1)_용답동오피스텔가실행" xfId="3765" xr:uid="{00000000-0005-0000-0000-0000A50E0000}"/>
    <cellStyle name="_제출용병천하수(지역관로1)_적상무주IC도로(1공구)" xfId="3766" xr:uid="{00000000-0005-0000-0000-0000A60E0000}"/>
    <cellStyle name="_제출용병천하수(지역관로1)_적상무주IC도로(1공구)_구기동(제출)(95.0)(031121)" xfId="3767" xr:uid="{00000000-0005-0000-0000-0000A70E0000}"/>
    <cellStyle name="_제출용병천하수(지역관로1)_적상무주IC도로(1공구)_구기동레포츠센타제출" xfId="3768" xr:uid="{00000000-0005-0000-0000-0000A80E0000}"/>
    <cellStyle name="_제출용병천하수(지역관로1)_적상무주IC도로(1공구)_신천동주상복합신축공사" xfId="3769" xr:uid="{00000000-0005-0000-0000-0000A90E0000}"/>
    <cellStyle name="_제출용병천하수(지역관로1)_적상무주IC도로(1공구)_용답동오피스텔가실행" xfId="3770" xr:uid="{00000000-0005-0000-0000-0000AA0E0000}"/>
    <cellStyle name="_조명제어-영등포점" xfId="3771" xr:uid="{00000000-0005-0000-0000-0000AB0E0000}"/>
    <cellStyle name="_조직표및인원투입" xfId="3772" xr:uid="{00000000-0005-0000-0000-0000AC0E0000}"/>
    <cellStyle name="_조치원제1공장내역서" xfId="3773" xr:uid="{00000000-0005-0000-0000-0000AD0E0000}"/>
    <cellStyle name="_종로 청문외국어학원" xfId="3774" xr:uid="{00000000-0005-0000-0000-0000AE0E0000}"/>
    <cellStyle name="_종료분석양식" xfId="3775" xr:uid="{00000000-0005-0000-0000-0000AF0E0000}"/>
    <cellStyle name="_준공사진" xfId="3776" xr:uid="{00000000-0005-0000-0000-0000B00E0000}"/>
    <cellStyle name="_준공-약전설비공사" xfId="3777" xr:uid="{00000000-0005-0000-0000-0000B10E0000}"/>
    <cellStyle name="_중역업무구분(2004-1)" xfId="3778" xr:uid="{00000000-0005-0000-0000-0000B20E0000}"/>
    <cellStyle name="_증감분석양식" xfId="3779" xr:uid="{00000000-0005-0000-0000-0000B30E0000}"/>
    <cellStyle name="_지열견적서(2006(1).05.22)송부" xfId="3780" xr:uid="{00000000-0005-0000-0000-0000B40E0000}"/>
    <cellStyle name="_지열견적서_20060628" xfId="3781" xr:uid="{00000000-0005-0000-0000-0000B50E0000}"/>
    <cellStyle name="_지열견적서_자동제어_20060628" xfId="3782" xr:uid="{00000000-0005-0000-0000-0000B60E0000}"/>
    <cellStyle name="_집계" xfId="3783" xr:uid="{00000000-0005-0000-0000-0000B70E0000}"/>
    <cellStyle name="_집행갑지 " xfId="3784" xr:uid="{00000000-0005-0000-0000-0000B80E0000}"/>
    <cellStyle name="_집행갑지 _광주평동실행" xfId="3785" xr:uid="{00000000-0005-0000-0000-0000B90E0000}"/>
    <cellStyle name="_집행갑지 _광주평동실행_구기동(제출)(95.0)(031121)" xfId="3786" xr:uid="{00000000-0005-0000-0000-0000BA0E0000}"/>
    <cellStyle name="_집행갑지 _광주평동실행_구기동레포츠센타제출" xfId="3787" xr:uid="{00000000-0005-0000-0000-0000BB0E0000}"/>
    <cellStyle name="_집행갑지 _광주평동실행_번암견적의뢰(협력)" xfId="3788" xr:uid="{00000000-0005-0000-0000-0000BC0E0000}"/>
    <cellStyle name="_집행갑지 _광주평동실행_번암견적의뢰(협력)_구기동(제출)(95.0)(031121)" xfId="3789" xr:uid="{00000000-0005-0000-0000-0000BD0E0000}"/>
    <cellStyle name="_집행갑지 _광주평동실행_번암견적의뢰(협력)_구기동레포츠센타제출" xfId="3790" xr:uid="{00000000-0005-0000-0000-0000BE0E0000}"/>
    <cellStyle name="_집행갑지 _광주평동실행_번암견적의뢰(협력)_신천동주상복합신축공사" xfId="3791" xr:uid="{00000000-0005-0000-0000-0000BF0E0000}"/>
    <cellStyle name="_집행갑지 _광주평동실행_번암견적의뢰(협력)_용답동오피스텔가실행" xfId="3792" xr:uid="{00000000-0005-0000-0000-0000C00E0000}"/>
    <cellStyle name="_집행갑지 _광주평동실행_신천동주상복합신축공사" xfId="3793" xr:uid="{00000000-0005-0000-0000-0000C10E0000}"/>
    <cellStyle name="_집행갑지 _광주평동실행_용답동오피스텔가실행" xfId="3794" xr:uid="{00000000-0005-0000-0000-0000C20E0000}"/>
    <cellStyle name="_집행갑지 _광주평동품의1" xfId="3795" xr:uid="{00000000-0005-0000-0000-0000C30E0000}"/>
    <cellStyle name="_집행갑지 _광주평동품의1_구기동(제출)(95.0)(031121)" xfId="3796" xr:uid="{00000000-0005-0000-0000-0000C40E0000}"/>
    <cellStyle name="_집행갑지 _광주평동품의1_구기동레포츠센타제출" xfId="3797" xr:uid="{00000000-0005-0000-0000-0000C50E0000}"/>
    <cellStyle name="_집행갑지 _광주평동품의1_무안-광주2공구(협력)수정" xfId="3798" xr:uid="{00000000-0005-0000-0000-0000C60E0000}"/>
    <cellStyle name="_집행갑지 _광주평동품의1_무안-광주2공구(협력)수정_구기동(제출)(95.0)(031121)" xfId="3799" xr:uid="{00000000-0005-0000-0000-0000C70E0000}"/>
    <cellStyle name="_집행갑지 _광주평동품의1_무안-광주2공구(협력)수정_구기동레포츠센타제출" xfId="3800" xr:uid="{00000000-0005-0000-0000-0000C80E0000}"/>
    <cellStyle name="_집행갑지 _광주평동품의1_무안-광주2공구(협력)수정_신천동주상복합신축공사" xfId="3801" xr:uid="{00000000-0005-0000-0000-0000C90E0000}"/>
    <cellStyle name="_집행갑지 _광주평동품의1_무안-광주2공구(협력)수정_용답동오피스텔가실행" xfId="3802" xr:uid="{00000000-0005-0000-0000-0000CA0E0000}"/>
    <cellStyle name="_집행갑지 _광주평동품의1_번암견적의뢰(협력)" xfId="3803" xr:uid="{00000000-0005-0000-0000-0000CB0E0000}"/>
    <cellStyle name="_집행갑지 _광주평동품의1_번암견적의뢰(협력)_구기동(제출)(95.0)(031121)" xfId="3804" xr:uid="{00000000-0005-0000-0000-0000CC0E0000}"/>
    <cellStyle name="_집행갑지 _광주평동품의1_번암견적의뢰(협력)_구기동레포츠센타제출" xfId="3805" xr:uid="{00000000-0005-0000-0000-0000CD0E0000}"/>
    <cellStyle name="_집행갑지 _광주평동품의1_번암견적의뢰(협력)_신천동주상복합신축공사" xfId="3806" xr:uid="{00000000-0005-0000-0000-0000CE0E0000}"/>
    <cellStyle name="_집행갑지 _광주평동품의1_번암견적의뢰(협력)_용답동오피스텔가실행" xfId="3807" xr:uid="{00000000-0005-0000-0000-0000CF0E0000}"/>
    <cellStyle name="_집행갑지 _광주평동품의1_신천동주상복합신축공사" xfId="3808" xr:uid="{00000000-0005-0000-0000-0000D00E0000}"/>
    <cellStyle name="_집행갑지 _광주평동품의1_용답동오피스텔가실행" xfId="3809" xr:uid="{00000000-0005-0000-0000-0000D10E0000}"/>
    <cellStyle name="_집행갑지 _광주평동품의1_적상무주IC도로(1공구)" xfId="3810" xr:uid="{00000000-0005-0000-0000-0000D20E0000}"/>
    <cellStyle name="_집행갑지 _광주평동품의1_적상무주IC도로(1공구)_구기동(제출)(95.0)(031121)" xfId="3811" xr:uid="{00000000-0005-0000-0000-0000D30E0000}"/>
    <cellStyle name="_집행갑지 _광주평동품의1_적상무주IC도로(1공구)_구기동레포츠센타제출" xfId="3812" xr:uid="{00000000-0005-0000-0000-0000D40E0000}"/>
    <cellStyle name="_집행갑지 _광주평동품의1_적상무주IC도로(1공구)_신천동주상복합신축공사" xfId="3813" xr:uid="{00000000-0005-0000-0000-0000D50E0000}"/>
    <cellStyle name="_집행갑지 _광주평동품의1_적상무주IC도로(1공구)_용답동오피스텔가실행" xfId="3814" xr:uid="{00000000-0005-0000-0000-0000D60E0000}"/>
    <cellStyle name="_집행갑지 _구기동(제출)(95.0)(031121)" xfId="3815" xr:uid="{00000000-0005-0000-0000-0000D70E0000}"/>
    <cellStyle name="_집행갑지 _구기동레포츠센타제출" xfId="3816" xr:uid="{00000000-0005-0000-0000-0000D80E0000}"/>
    <cellStyle name="_집행갑지 _기장하수실행1" xfId="3817" xr:uid="{00000000-0005-0000-0000-0000D90E0000}"/>
    <cellStyle name="_집행갑지 _기장하수실행1_구기동(제출)(95.0)(031121)" xfId="3818" xr:uid="{00000000-0005-0000-0000-0000DA0E0000}"/>
    <cellStyle name="_집행갑지 _기장하수실행1_구기동레포츠센타제출" xfId="3819" xr:uid="{00000000-0005-0000-0000-0000DB0E0000}"/>
    <cellStyle name="_집행갑지 _기장하수실행1_번암견적의뢰(협력)" xfId="3820" xr:uid="{00000000-0005-0000-0000-0000DC0E0000}"/>
    <cellStyle name="_집행갑지 _기장하수실행1_번암견적의뢰(협력)_구기동(제출)(95.0)(031121)" xfId="3821" xr:uid="{00000000-0005-0000-0000-0000DD0E0000}"/>
    <cellStyle name="_집행갑지 _기장하수실행1_번암견적의뢰(협력)_구기동레포츠센타제출" xfId="3822" xr:uid="{00000000-0005-0000-0000-0000DE0E0000}"/>
    <cellStyle name="_집행갑지 _기장하수실행1_번암견적의뢰(협력)_신천동주상복합신축공사" xfId="3823" xr:uid="{00000000-0005-0000-0000-0000DF0E0000}"/>
    <cellStyle name="_집행갑지 _기장하수실행1_번암견적의뢰(협력)_용답동오피스텔가실행" xfId="3824" xr:uid="{00000000-0005-0000-0000-0000E00E0000}"/>
    <cellStyle name="_집행갑지 _기장하수실행1_신천동주상복합신축공사" xfId="3825" xr:uid="{00000000-0005-0000-0000-0000E10E0000}"/>
    <cellStyle name="_집행갑지 _기장하수실행1_용답동오피스텔가실행" xfId="3826" xr:uid="{00000000-0005-0000-0000-0000E20E0000}"/>
    <cellStyle name="_집행갑지 _무안-광주2공구(협력)수정" xfId="3827" xr:uid="{00000000-0005-0000-0000-0000E30E0000}"/>
    <cellStyle name="_집행갑지 _무안-광주2공구(협력)수정_구기동(제출)(95.0)(031121)" xfId="3828" xr:uid="{00000000-0005-0000-0000-0000E40E0000}"/>
    <cellStyle name="_집행갑지 _무안-광주2공구(협력)수정_구기동레포츠센타제출" xfId="3829" xr:uid="{00000000-0005-0000-0000-0000E50E0000}"/>
    <cellStyle name="_집행갑지 _무안-광주2공구(협력)수정_신천동주상복합신축공사" xfId="3830" xr:uid="{00000000-0005-0000-0000-0000E60E0000}"/>
    <cellStyle name="_집행갑지 _무안-광주2공구(협력)수정_용답동오피스텔가실행" xfId="3831" xr:uid="{00000000-0005-0000-0000-0000E70E0000}"/>
    <cellStyle name="_집행갑지 _번암견적의뢰(협력)" xfId="3832" xr:uid="{00000000-0005-0000-0000-0000E80E0000}"/>
    <cellStyle name="_집행갑지 _번암견적의뢰(협력)_구기동(제출)(95.0)(031121)" xfId="3833" xr:uid="{00000000-0005-0000-0000-0000E90E0000}"/>
    <cellStyle name="_집행갑지 _번암견적의뢰(협력)_구기동레포츠센타제출" xfId="3834" xr:uid="{00000000-0005-0000-0000-0000EA0E0000}"/>
    <cellStyle name="_집행갑지 _번암견적의뢰(협력)_신천동주상복합신축공사" xfId="3835" xr:uid="{00000000-0005-0000-0000-0000EB0E0000}"/>
    <cellStyle name="_집행갑지 _번암견적의뢰(협력)_용답동오피스텔가실행" xfId="3836" xr:uid="{00000000-0005-0000-0000-0000EC0E0000}"/>
    <cellStyle name="_집행갑지 _송학실행안" xfId="3837" xr:uid="{00000000-0005-0000-0000-0000ED0E0000}"/>
    <cellStyle name="_집행갑지 _송학실행안_구기동(제출)(95.0)(031121)" xfId="3838" xr:uid="{00000000-0005-0000-0000-0000EE0E0000}"/>
    <cellStyle name="_집행갑지 _송학실행안_구기동레포츠센타제출" xfId="3839" xr:uid="{00000000-0005-0000-0000-0000EF0E0000}"/>
    <cellStyle name="_집행갑지 _송학실행안_번암견적의뢰(협력)" xfId="3840" xr:uid="{00000000-0005-0000-0000-0000F00E0000}"/>
    <cellStyle name="_집행갑지 _송학실행안_번암견적의뢰(협력)_구기동(제출)(95.0)(031121)" xfId="3841" xr:uid="{00000000-0005-0000-0000-0000F10E0000}"/>
    <cellStyle name="_집행갑지 _송학실행안_번암견적의뢰(협력)_구기동레포츠센타제출" xfId="3842" xr:uid="{00000000-0005-0000-0000-0000F20E0000}"/>
    <cellStyle name="_집행갑지 _송학실행안_번암견적의뢰(협력)_신천동주상복합신축공사" xfId="3843" xr:uid="{00000000-0005-0000-0000-0000F30E0000}"/>
    <cellStyle name="_집행갑지 _송학실행안_번암견적의뢰(협력)_용답동오피스텔가실행" xfId="3844" xr:uid="{00000000-0005-0000-0000-0000F40E0000}"/>
    <cellStyle name="_집행갑지 _송학실행안_신천동주상복합신축공사" xfId="3845" xr:uid="{00000000-0005-0000-0000-0000F50E0000}"/>
    <cellStyle name="_집행갑지 _송학실행안_용답동오피스텔가실행" xfId="3846" xr:uid="{00000000-0005-0000-0000-0000F60E0000}"/>
    <cellStyle name="_집행갑지 _송학하수투찰" xfId="3847" xr:uid="{00000000-0005-0000-0000-0000F70E0000}"/>
    <cellStyle name="_집행갑지 _송학하수투찰_구기동(제출)(95.0)(031121)" xfId="3848" xr:uid="{00000000-0005-0000-0000-0000F80E0000}"/>
    <cellStyle name="_집행갑지 _송학하수투찰_구기동레포츠센타제출" xfId="3849" xr:uid="{00000000-0005-0000-0000-0000F90E0000}"/>
    <cellStyle name="_집행갑지 _송학하수투찰_번암견적의뢰(협력)" xfId="3850" xr:uid="{00000000-0005-0000-0000-0000FA0E0000}"/>
    <cellStyle name="_집행갑지 _송학하수투찰_번암견적의뢰(협력)_구기동(제출)(95.0)(031121)" xfId="3851" xr:uid="{00000000-0005-0000-0000-0000FB0E0000}"/>
    <cellStyle name="_집행갑지 _송학하수투찰_번암견적의뢰(협력)_구기동레포츠센타제출" xfId="3852" xr:uid="{00000000-0005-0000-0000-0000FC0E0000}"/>
    <cellStyle name="_집행갑지 _송학하수투찰_번암견적의뢰(협력)_신천동주상복합신축공사" xfId="3853" xr:uid="{00000000-0005-0000-0000-0000FD0E0000}"/>
    <cellStyle name="_집행갑지 _송학하수투찰_번암견적의뢰(협력)_용답동오피스텔가실행" xfId="3854" xr:uid="{00000000-0005-0000-0000-0000FE0E0000}"/>
    <cellStyle name="_집행갑지 _송학하수투찰_신천동주상복합신축공사" xfId="3855" xr:uid="{00000000-0005-0000-0000-0000FF0E0000}"/>
    <cellStyle name="_집행갑지 _송학하수투찰_용답동오피스텔가실행" xfId="3856" xr:uid="{00000000-0005-0000-0000-0000000F0000}"/>
    <cellStyle name="_집행갑지 _송학하수품의(설계넣고)" xfId="3857" xr:uid="{00000000-0005-0000-0000-0000010F0000}"/>
    <cellStyle name="_집행갑지 _송학하수품의(설계넣고)_구기동(제출)(95.0)(031121)" xfId="3858" xr:uid="{00000000-0005-0000-0000-0000020F0000}"/>
    <cellStyle name="_집행갑지 _송학하수품의(설계넣고)_구기동레포츠센타제출" xfId="3859" xr:uid="{00000000-0005-0000-0000-0000030F0000}"/>
    <cellStyle name="_집행갑지 _송학하수품의(설계넣고)_무안-광주2공구(협력)수정" xfId="3860" xr:uid="{00000000-0005-0000-0000-0000040F0000}"/>
    <cellStyle name="_집행갑지 _송학하수품의(설계넣고)_무안-광주2공구(협력)수정_구기동(제출)(95.0)(031121)" xfId="3861" xr:uid="{00000000-0005-0000-0000-0000050F0000}"/>
    <cellStyle name="_집행갑지 _송학하수품의(설계넣고)_무안-광주2공구(협력)수정_구기동레포츠센타제출" xfId="3862" xr:uid="{00000000-0005-0000-0000-0000060F0000}"/>
    <cellStyle name="_집행갑지 _송학하수품의(설계넣고)_무안-광주2공구(협력)수정_신천동주상복합신축공사" xfId="3863" xr:uid="{00000000-0005-0000-0000-0000070F0000}"/>
    <cellStyle name="_집행갑지 _송학하수품의(설계넣고)_무안-광주2공구(협력)수정_용답동오피스텔가실행" xfId="3864" xr:uid="{00000000-0005-0000-0000-0000080F0000}"/>
    <cellStyle name="_집행갑지 _송학하수품의(설계넣고)_번암견적의뢰(협력)" xfId="3865" xr:uid="{00000000-0005-0000-0000-0000090F0000}"/>
    <cellStyle name="_집행갑지 _송학하수품의(설계넣고)_번암견적의뢰(협력)_구기동(제출)(95.0)(031121)" xfId="3866" xr:uid="{00000000-0005-0000-0000-00000A0F0000}"/>
    <cellStyle name="_집행갑지 _송학하수품의(설계넣고)_번암견적의뢰(협력)_구기동레포츠센타제출" xfId="3867" xr:uid="{00000000-0005-0000-0000-00000B0F0000}"/>
    <cellStyle name="_집행갑지 _송학하수품의(설계넣고)_번암견적의뢰(협력)_신천동주상복합신축공사" xfId="3868" xr:uid="{00000000-0005-0000-0000-00000C0F0000}"/>
    <cellStyle name="_집행갑지 _송학하수품의(설계넣고)_번암견적의뢰(협력)_용답동오피스텔가실행" xfId="3869" xr:uid="{00000000-0005-0000-0000-00000D0F0000}"/>
    <cellStyle name="_집행갑지 _송학하수품의(설계넣고)_신천동주상복합신축공사" xfId="3870" xr:uid="{00000000-0005-0000-0000-00000E0F0000}"/>
    <cellStyle name="_집행갑지 _송학하수품의(설계넣고)_용답동오피스텔가실행" xfId="3871" xr:uid="{00000000-0005-0000-0000-00000F0F0000}"/>
    <cellStyle name="_집행갑지 _송학하수품의(설계넣고)_적상무주IC도로(1공구)" xfId="3872" xr:uid="{00000000-0005-0000-0000-0000100F0000}"/>
    <cellStyle name="_집행갑지 _송학하수품의(설계넣고)_적상무주IC도로(1공구)_구기동(제출)(95.0)(031121)" xfId="3873" xr:uid="{00000000-0005-0000-0000-0000110F0000}"/>
    <cellStyle name="_집행갑지 _송학하수품의(설계넣고)_적상무주IC도로(1공구)_구기동레포츠센타제출" xfId="3874" xr:uid="{00000000-0005-0000-0000-0000120F0000}"/>
    <cellStyle name="_집행갑지 _송학하수품의(설계넣고)_적상무주IC도로(1공구)_신천동주상복합신축공사" xfId="3875" xr:uid="{00000000-0005-0000-0000-0000130F0000}"/>
    <cellStyle name="_집행갑지 _송학하수품의(설계넣고)_적상무주IC도로(1공구)_용답동오피스텔가실행" xfId="3876" xr:uid="{00000000-0005-0000-0000-0000140F0000}"/>
    <cellStyle name="_집행갑지 _신천동주상복합신축공사" xfId="3877" xr:uid="{00000000-0005-0000-0000-0000150F0000}"/>
    <cellStyle name="_집행갑지 _용답동오피스텔가실행" xfId="3878" xr:uid="{00000000-0005-0000-0000-0000160F0000}"/>
    <cellStyle name="_집행갑지 _적상무주IC도로(1공구)" xfId="3879" xr:uid="{00000000-0005-0000-0000-0000170F0000}"/>
    <cellStyle name="_집행갑지 _적상무주IC도로(1공구)_구기동(제출)(95.0)(031121)" xfId="3880" xr:uid="{00000000-0005-0000-0000-0000180F0000}"/>
    <cellStyle name="_집행갑지 _적상무주IC도로(1공구)_구기동레포츠센타제출" xfId="3881" xr:uid="{00000000-0005-0000-0000-0000190F0000}"/>
    <cellStyle name="_집행갑지 _적상무주IC도로(1공구)_신천동주상복합신축공사" xfId="3882" xr:uid="{00000000-0005-0000-0000-00001A0F0000}"/>
    <cellStyle name="_집행갑지 _적상무주IC도로(1공구)_용답동오피스텔가실행" xfId="3883" xr:uid="{00000000-0005-0000-0000-00001B0F0000}"/>
    <cellStyle name="_참고01-50억대안제시" xfId="3884" xr:uid="{00000000-0005-0000-0000-00001C0F0000}"/>
    <cellStyle name="_참고02-당초가실행" xfId="3885" xr:uid="{00000000-0005-0000-0000-00001D0F0000}"/>
    <cellStyle name="_참조충주내역" xfId="3886" xr:uid="{00000000-0005-0000-0000-00001E0F0000}"/>
    <cellStyle name="_창원대제5공학관" xfId="3887" xr:uid="{00000000-0005-0000-0000-00001F0F0000}"/>
    <cellStyle name="_창원대학교(조달청서류)" xfId="3888" xr:uid="{00000000-0005-0000-0000-0000200F0000}"/>
    <cellStyle name="_천안 고객 PLAZA 내장공사" xfId="3889" xr:uid="{00000000-0005-0000-0000-0000210F0000}"/>
    <cellStyle name="_천안반도체 LCD 6LINE 신축공사(용력동)" xfId="3890" xr:uid="{00000000-0005-0000-0000-0000220F0000}"/>
    <cellStyle name="_청주키노피아" xfId="3891" xr:uid="{00000000-0005-0000-0000-0000230F0000}"/>
    <cellStyle name="_최종보고-파주완료030401" xfId="3892" xr:uid="{00000000-0005-0000-0000-0000240F0000}"/>
    <cellStyle name="_충남당진(일반전기_합침_공내역)-20031124" xfId="3893" xr:uid="{00000000-0005-0000-0000-0000250F0000}"/>
    <cellStyle name="_충북권주배관 2공구" xfId="3894" xr:uid="{00000000-0005-0000-0000-0000260F0000}"/>
    <cellStyle name="_충정실행" xfId="3895" xr:uid="{00000000-0005-0000-0000-0000270F0000}"/>
    <cellStyle name="_충정실행_의왕실행" xfId="3896" xr:uid="{00000000-0005-0000-0000-0000280F0000}"/>
    <cellStyle name="_코레노2차-공내역-인테리어공사" xfId="3897" xr:uid="{00000000-0005-0000-0000-0000290F0000}"/>
    <cellStyle name="_큰고개재건축아파트건립공사" xfId="3898" xr:uid="{00000000-0005-0000-0000-00002A0F0000}"/>
    <cellStyle name="_탕정T2-PJT 전기공사" xfId="3899" xr:uid="{00000000-0005-0000-0000-00002B0F0000}"/>
    <cellStyle name="_탕정T2-PJT(공장동1,2,5,6층일반전기)(최종)" xfId="3900" xr:uid="{00000000-0005-0000-0000-00002C0F0000}"/>
    <cellStyle name="_탕정T7-PJT공장동공사(실행)" xfId="3901" xr:uid="{00000000-0005-0000-0000-00002D0F0000}"/>
    <cellStyle name="_태인-원평2공구(협력)" xfId="3902" xr:uid="{00000000-0005-0000-0000-00002E0F0000}"/>
    <cellStyle name="_태인-원평2공구(협력)_구기동(제출)(95.0)(031121)" xfId="3903" xr:uid="{00000000-0005-0000-0000-00002F0F0000}"/>
    <cellStyle name="_태인-원평2공구(협력)_구기동레포츠센타제출" xfId="3904" xr:uid="{00000000-0005-0000-0000-0000300F0000}"/>
    <cellStyle name="_태인-원평2공구(협력)_신천동주상복합신축공사" xfId="3905" xr:uid="{00000000-0005-0000-0000-0000310F0000}"/>
    <cellStyle name="_태인-원평2공구(협력)_용답동오피스텔가실행" xfId="3906" xr:uid="{00000000-0005-0000-0000-0000320F0000}"/>
    <cellStyle name="_태인-원평2공구(협력)_적상무주IC도로(1공구)" xfId="3907" xr:uid="{00000000-0005-0000-0000-0000330F0000}"/>
    <cellStyle name="_태인-원평2공구(협력)_적상무주IC도로(1공구)_구기동(제출)(95.0)(031121)" xfId="3908" xr:uid="{00000000-0005-0000-0000-0000340F0000}"/>
    <cellStyle name="_태인-원평2공구(협력)_적상무주IC도로(1공구)_구기동레포츠센타제출" xfId="3909" xr:uid="{00000000-0005-0000-0000-0000350F0000}"/>
    <cellStyle name="_태인-원평2공구(협력)_적상무주IC도로(1공구)_신천동주상복합신축공사" xfId="3910" xr:uid="{00000000-0005-0000-0000-0000360F0000}"/>
    <cellStyle name="_태인-원평2공구(협력)_적상무주IC도로(1공구)_용답동오피스텔가실행" xfId="3911" xr:uid="{00000000-0005-0000-0000-0000370F0000}"/>
    <cellStyle name="_토공 - 신일" xfId="3912" xr:uid="{00000000-0005-0000-0000-0000380F0000}"/>
    <cellStyle name="_토공및흙막이공사" xfId="3913" xr:uid="{00000000-0005-0000-0000-0000390F0000}"/>
    <cellStyle name="_토공사 분석2" xfId="3914" xr:uid="{00000000-0005-0000-0000-00003A0F0000}"/>
    <cellStyle name="_토류판(정대리수정0715)" xfId="3915" xr:uid="{00000000-0005-0000-0000-00003B0F0000}"/>
    <cellStyle name="_토목설계" xfId="3916" xr:uid="{00000000-0005-0000-0000-00003C0F0000}"/>
    <cellStyle name="_토목설계_구기동(제출)(95.0)(031121)" xfId="3917" xr:uid="{00000000-0005-0000-0000-00003D0F0000}"/>
    <cellStyle name="_토목설계_구기동레포츠센타제출" xfId="3918" xr:uid="{00000000-0005-0000-0000-00003E0F0000}"/>
    <cellStyle name="_토목설계_신천동주상복합신축공사" xfId="3919" xr:uid="{00000000-0005-0000-0000-00003F0F0000}"/>
    <cellStyle name="_토목설계_용답동오피스텔가실행" xfId="3920" xr:uid="{00000000-0005-0000-0000-0000400F0000}"/>
    <cellStyle name="_투찰(안덕대정)" xfId="3921" xr:uid="{00000000-0005-0000-0000-0000410F0000}"/>
    <cellStyle name="_투찰(안덕대정)_1. 가실행예산(0629 도면기준)" xfId="3922" xr:uid="{00000000-0005-0000-0000-0000420F0000}"/>
    <cellStyle name="_투찰(안덕대정)_1. 가실행예산(0629 도면기준)_4.일신통신 가실행예산(재견적合)" xfId="3923" xr:uid="{00000000-0005-0000-0000-0000430F0000}"/>
    <cellStyle name="_투찰(안덕대정)_1. 가실행예산(0629 도면기준)_을" xfId="3924" xr:uid="{00000000-0005-0000-0000-0000440F0000}"/>
    <cellStyle name="_투찰(안덕대정)_1.본실행 - 조정(안)" xfId="3925" xr:uid="{00000000-0005-0000-0000-0000450F0000}"/>
    <cellStyle name="_투찰(안덕대정)_1.본실행 - 조정(안)_4.일신통신 가실행예산(재견적合)" xfId="3926" xr:uid="{00000000-0005-0000-0000-0000460F0000}"/>
    <cellStyle name="_투찰(안덕대정)_1.본실행 - 조정(안)_을" xfId="3927" xr:uid="{00000000-0005-0000-0000-0000470F0000}"/>
    <cellStyle name="_투찰(안덕대정)_4.일신통신 가실행예산(재견적合)" xfId="3928" xr:uid="{00000000-0005-0000-0000-0000480F0000}"/>
    <cellStyle name="_투찰(안덕대정)_을" xfId="3929" xr:uid="{00000000-0005-0000-0000-0000490F0000}"/>
    <cellStyle name="_투찰(안덕대정)_총괄 내역서" xfId="3930" xr:uid="{00000000-0005-0000-0000-00004A0F0000}"/>
    <cellStyle name="_투찰(안덕대정)_총괄 내역서_4.일신통신 가실행예산(재견적合)" xfId="3931" xr:uid="{00000000-0005-0000-0000-00004B0F0000}"/>
    <cellStyle name="_투찰(안덕대정)_총괄 내역서_을" xfId="3932" xr:uid="{00000000-0005-0000-0000-00004C0F0000}"/>
    <cellStyle name="_투찰(안덕대정)_투찰_대둔산" xfId="3933" xr:uid="{00000000-0005-0000-0000-00004D0F0000}"/>
    <cellStyle name="_투찰(안덕대정)_투찰_대둔산_1. 가실행예산(0629 도면기준)" xfId="3934" xr:uid="{00000000-0005-0000-0000-00004E0F0000}"/>
    <cellStyle name="_투찰(안덕대정)_투찰_대둔산_1. 가실행예산(0629 도면기준)_4.일신통신 가실행예산(재견적合)" xfId="3935" xr:uid="{00000000-0005-0000-0000-00004F0F0000}"/>
    <cellStyle name="_투찰(안덕대정)_투찰_대둔산_1. 가실행예산(0629 도면기준)_을" xfId="3936" xr:uid="{00000000-0005-0000-0000-0000500F0000}"/>
    <cellStyle name="_투찰(안덕대정)_투찰_대둔산_1.본실행 - 조정(안)" xfId="3937" xr:uid="{00000000-0005-0000-0000-0000510F0000}"/>
    <cellStyle name="_투찰(안덕대정)_투찰_대둔산_1.본실행 - 조정(안)_4.일신통신 가실행예산(재견적合)" xfId="3938" xr:uid="{00000000-0005-0000-0000-0000520F0000}"/>
    <cellStyle name="_투찰(안덕대정)_투찰_대둔산_1.본실행 - 조정(안)_을" xfId="3939" xr:uid="{00000000-0005-0000-0000-0000530F0000}"/>
    <cellStyle name="_투찰(안덕대정)_투찰_대둔산_4.일신통신 가실행예산(재견적合)" xfId="3940" xr:uid="{00000000-0005-0000-0000-0000540F0000}"/>
    <cellStyle name="_투찰(안덕대정)_투찰_대둔산_을" xfId="3941" xr:uid="{00000000-0005-0000-0000-0000550F0000}"/>
    <cellStyle name="_투찰(안덕대정)_투찰_대둔산_총괄 내역서" xfId="3942" xr:uid="{00000000-0005-0000-0000-0000560F0000}"/>
    <cellStyle name="_투찰(안덕대정)_투찰_대둔산_총괄 내역서_4.일신통신 가실행예산(재견적合)" xfId="3943" xr:uid="{00000000-0005-0000-0000-0000570F0000}"/>
    <cellStyle name="_투찰(안덕대정)_투찰_대둔산_총괄 내역서_을" xfId="3944" xr:uid="{00000000-0005-0000-0000-0000580F0000}"/>
    <cellStyle name="_투찰(안덕대정)1" xfId="3945" xr:uid="{00000000-0005-0000-0000-0000590F0000}"/>
    <cellStyle name="_투찰(안덕대정)1_1. 가실행예산(0629 도면기준)" xfId="3946" xr:uid="{00000000-0005-0000-0000-00005A0F0000}"/>
    <cellStyle name="_투찰(안덕대정)1_1. 가실행예산(0629 도면기준)_4.일신통신 가실행예산(재견적合)" xfId="3947" xr:uid="{00000000-0005-0000-0000-00005B0F0000}"/>
    <cellStyle name="_투찰(안덕대정)1_1. 가실행예산(0629 도면기준)_을" xfId="3948" xr:uid="{00000000-0005-0000-0000-00005C0F0000}"/>
    <cellStyle name="_투찰(안덕대정)1_1.본실행 - 조정(안)" xfId="3949" xr:uid="{00000000-0005-0000-0000-00005D0F0000}"/>
    <cellStyle name="_투찰(안덕대정)1_1.본실행 - 조정(안)_4.일신통신 가실행예산(재견적合)" xfId="3950" xr:uid="{00000000-0005-0000-0000-00005E0F0000}"/>
    <cellStyle name="_투찰(안덕대정)1_1.본실행 - 조정(안)_을" xfId="3951" xr:uid="{00000000-0005-0000-0000-00005F0F0000}"/>
    <cellStyle name="_투찰(안덕대정)1_4.일신통신 가실행예산(재견적合)" xfId="3952" xr:uid="{00000000-0005-0000-0000-0000600F0000}"/>
    <cellStyle name="_투찰(안덕대정)1_을" xfId="3953" xr:uid="{00000000-0005-0000-0000-0000610F0000}"/>
    <cellStyle name="_투찰(안덕대정)1_총괄 내역서" xfId="3954" xr:uid="{00000000-0005-0000-0000-0000620F0000}"/>
    <cellStyle name="_투찰(안덕대정)1_총괄 내역서_4.일신통신 가실행예산(재견적合)" xfId="3955" xr:uid="{00000000-0005-0000-0000-0000630F0000}"/>
    <cellStyle name="_투찰(안덕대정)1_총괄 내역서_을" xfId="3956" xr:uid="{00000000-0005-0000-0000-0000640F0000}"/>
    <cellStyle name="_투찰(안덕대정)1_투찰_대둔산" xfId="3957" xr:uid="{00000000-0005-0000-0000-0000650F0000}"/>
    <cellStyle name="_투찰(안덕대정)1_투찰_대둔산_1. 가실행예산(0629 도면기준)" xfId="3958" xr:uid="{00000000-0005-0000-0000-0000660F0000}"/>
    <cellStyle name="_투찰(안덕대정)1_투찰_대둔산_1. 가실행예산(0629 도면기준)_4.일신통신 가실행예산(재견적合)" xfId="3959" xr:uid="{00000000-0005-0000-0000-0000670F0000}"/>
    <cellStyle name="_투찰(안덕대정)1_투찰_대둔산_1. 가실행예산(0629 도면기준)_을" xfId="3960" xr:uid="{00000000-0005-0000-0000-0000680F0000}"/>
    <cellStyle name="_투찰(안덕대정)1_투찰_대둔산_1.본실행 - 조정(안)" xfId="3961" xr:uid="{00000000-0005-0000-0000-0000690F0000}"/>
    <cellStyle name="_투찰(안덕대정)1_투찰_대둔산_1.본실행 - 조정(안)_4.일신통신 가실행예산(재견적合)" xfId="3962" xr:uid="{00000000-0005-0000-0000-00006A0F0000}"/>
    <cellStyle name="_투찰(안덕대정)1_투찰_대둔산_1.본실행 - 조정(안)_을" xfId="3963" xr:uid="{00000000-0005-0000-0000-00006B0F0000}"/>
    <cellStyle name="_투찰(안덕대정)1_투찰_대둔산_4.일신통신 가실행예산(재견적合)" xfId="3964" xr:uid="{00000000-0005-0000-0000-00006C0F0000}"/>
    <cellStyle name="_투찰(안덕대정)1_투찰_대둔산_을" xfId="3965" xr:uid="{00000000-0005-0000-0000-00006D0F0000}"/>
    <cellStyle name="_투찰(안덕대정)1_투찰_대둔산_총괄 내역서" xfId="3966" xr:uid="{00000000-0005-0000-0000-00006E0F0000}"/>
    <cellStyle name="_투찰(안덕대정)1_투찰_대둔산_총괄 내역서_4.일신통신 가실행예산(재견적合)" xfId="3967" xr:uid="{00000000-0005-0000-0000-00006F0F0000}"/>
    <cellStyle name="_투찰(안덕대정)1_투찰_대둔산_총괄 내역서_을" xfId="3968" xr:uid="{00000000-0005-0000-0000-0000700F0000}"/>
    <cellStyle name="_투찰내역" xfId="3969" xr:uid="{00000000-0005-0000-0000-0000710F0000}"/>
    <cellStyle name="_투찰내역_1. 가실행예산(0629 도면기준)" xfId="3970" xr:uid="{00000000-0005-0000-0000-0000720F0000}"/>
    <cellStyle name="_투찰내역_1. 가실행예산(0629 도면기준)_4.일신통신 가실행예산(재견적合)" xfId="3971" xr:uid="{00000000-0005-0000-0000-0000730F0000}"/>
    <cellStyle name="_투찰내역_1. 가실행예산(0629 도면기준)_을" xfId="3972" xr:uid="{00000000-0005-0000-0000-0000740F0000}"/>
    <cellStyle name="_투찰내역_1.본실행 - 조정(안)" xfId="3973" xr:uid="{00000000-0005-0000-0000-0000750F0000}"/>
    <cellStyle name="_투찰내역_1.본실행 - 조정(안)_4.일신통신 가실행예산(재견적合)" xfId="3974" xr:uid="{00000000-0005-0000-0000-0000760F0000}"/>
    <cellStyle name="_투찰내역_1.본실행 - 조정(안)_을" xfId="3975" xr:uid="{00000000-0005-0000-0000-0000770F0000}"/>
    <cellStyle name="_투찰내역_4.일신통신 가실행예산(재견적合)" xfId="3976" xr:uid="{00000000-0005-0000-0000-0000780F0000}"/>
    <cellStyle name="_투찰내역_을" xfId="3977" xr:uid="{00000000-0005-0000-0000-0000790F0000}"/>
    <cellStyle name="_투찰내역_총괄 내역서" xfId="3978" xr:uid="{00000000-0005-0000-0000-00007A0F0000}"/>
    <cellStyle name="_투찰내역_총괄 내역서_4.일신통신 가실행예산(재견적合)" xfId="3979" xr:uid="{00000000-0005-0000-0000-00007B0F0000}"/>
    <cellStyle name="_투찰내역_총괄 내역서_을" xfId="3980" xr:uid="{00000000-0005-0000-0000-00007C0F0000}"/>
    <cellStyle name="_투찰내역R1" xfId="3981" xr:uid="{00000000-0005-0000-0000-00007D0F0000}"/>
    <cellStyle name="_투찰내역R1_1. 가실행예산(0629 도면기준)" xfId="3982" xr:uid="{00000000-0005-0000-0000-00007E0F0000}"/>
    <cellStyle name="_투찰내역R1_1. 가실행예산(0629 도면기준)_4.일신통신 가실행예산(재견적合)" xfId="3983" xr:uid="{00000000-0005-0000-0000-00007F0F0000}"/>
    <cellStyle name="_투찰내역R1_1. 가실행예산(0629 도면기준)_을" xfId="3984" xr:uid="{00000000-0005-0000-0000-0000800F0000}"/>
    <cellStyle name="_투찰내역R1_1.본실행 - 조정(안)" xfId="3985" xr:uid="{00000000-0005-0000-0000-0000810F0000}"/>
    <cellStyle name="_투찰내역R1_1.본실행 - 조정(안)_4.일신통신 가실행예산(재견적合)" xfId="3986" xr:uid="{00000000-0005-0000-0000-0000820F0000}"/>
    <cellStyle name="_투찰내역R1_1.본실행 - 조정(안)_을" xfId="3987" xr:uid="{00000000-0005-0000-0000-0000830F0000}"/>
    <cellStyle name="_투찰내역R1_4.일신통신 가실행예산(재견적合)" xfId="3988" xr:uid="{00000000-0005-0000-0000-0000840F0000}"/>
    <cellStyle name="_투찰내역R1_을" xfId="3989" xr:uid="{00000000-0005-0000-0000-0000850F0000}"/>
    <cellStyle name="_투찰내역R1_총괄 내역서" xfId="3990" xr:uid="{00000000-0005-0000-0000-0000860F0000}"/>
    <cellStyle name="_투찰내역R1_총괄 내역서_4.일신통신 가실행예산(재견적合)" xfId="3991" xr:uid="{00000000-0005-0000-0000-0000870F0000}"/>
    <cellStyle name="_투찰내역R1_총괄 내역서_을" xfId="3992" xr:uid="{00000000-0005-0000-0000-0000880F0000}"/>
    <cellStyle name="_투팔양식" xfId="3993" xr:uid="{00000000-0005-0000-0000-0000890F0000}"/>
    <cellStyle name="_파주출판물" xfId="3994" xr:uid="{00000000-0005-0000-0000-00008A0F0000}"/>
    <cellStyle name="_파주출판물개략완료" xfId="3995" xr:uid="{00000000-0005-0000-0000-00008B0F0000}"/>
    <cellStyle name="_파주출판물개략완료Ⅲ" xfId="3996" xr:uid="{00000000-0005-0000-0000-00008C0F0000}"/>
    <cellStyle name="_팩스메세지" xfId="3997" xr:uid="{00000000-0005-0000-0000-00008D0F0000}"/>
    <cellStyle name="_페브릭사진" xfId="3998" xr:uid="{00000000-0005-0000-0000-00008E0F0000}"/>
    <cellStyle name="_평당공사비(05.26)" xfId="3999" xr:uid="{00000000-0005-0000-0000-00008F0F0000}"/>
    <cellStyle name="_평촌의왕물량" xfId="4000" xr:uid="{00000000-0005-0000-0000-0000900F0000}"/>
    <cellStyle name="_포항실행견적내역" xfId="4001" xr:uid="{00000000-0005-0000-0000-0000910F0000}"/>
    <cellStyle name="_포항점1공구변경내역서" xfId="4002" xr:uid="{00000000-0005-0000-0000-0000920F0000}"/>
    <cellStyle name="_피타일,카펫타일사진" xfId="4003" xr:uid="{00000000-0005-0000-0000-0000930F0000}"/>
    <cellStyle name="_필름공사사진." xfId="4004" xr:uid="{00000000-0005-0000-0000-0000940F0000}"/>
    <cellStyle name="_하나로정보센터 견적(각층별 최종)" xfId="4005" xr:uid="{00000000-0005-0000-0000-0000950F0000}"/>
    <cellStyle name="_하도급 업체선정( 철거 )" xfId="4006" xr:uid="{00000000-0005-0000-0000-0000960F0000}"/>
    <cellStyle name="_하도급정산품의서" xfId="4007" xr:uid="{00000000-0005-0000-0000-0000970F0000}"/>
    <cellStyle name="_한국가정법률 개산" xfId="4008" xr:uid="{00000000-0005-0000-0000-0000980F0000}"/>
    <cellStyle name="_한솔건설(주)" xfId="4009" xr:uid="{00000000-0005-0000-0000-0000990F0000}"/>
    <cellStyle name="_한양대학병원 검진센타" xfId="4010" xr:uid="{00000000-0005-0000-0000-00009A0F0000}"/>
    <cellStyle name="_한양대학병원국제협력센타" xfId="4011" xr:uid="{00000000-0005-0000-0000-00009B0F0000}"/>
    <cellStyle name="_해영회관 리모델링 공사" xfId="4012" xr:uid="{00000000-0005-0000-0000-00009C0F0000}"/>
    <cellStyle name="_현설 자료" xfId="4013" xr:uid="{00000000-0005-0000-0000-00009D0F0000}"/>
    <cellStyle name="_현설내역-경량" xfId="4014" xr:uid="{00000000-0005-0000-0000-00009E0F0000}"/>
    <cellStyle name="_현설자료" xfId="4015" xr:uid="{00000000-0005-0000-0000-00009F0F0000}"/>
    <cellStyle name="_현장문서양식" xfId="4016" xr:uid="{00000000-0005-0000-0000-0000A00F0000}"/>
    <cellStyle name="_현장설명서(필독)" xfId="4017" xr:uid="{00000000-0005-0000-0000-0000A10F0000}"/>
    <cellStyle name="_현장양식최신" xfId="4018" xr:uid="{00000000-0005-0000-0000-0000A20F0000}"/>
    <cellStyle name="_현장양식최신1" xfId="4019" xr:uid="{00000000-0005-0000-0000-0000A30F0000}"/>
    <cellStyle name="_현장완료" xfId="4020" xr:uid="{00000000-0005-0000-0000-0000A40F0000}"/>
    <cellStyle name="_호텔동 임시동력공사" xfId="4021" xr:uid="{00000000-0005-0000-0000-0000A50F0000}"/>
    <cellStyle name="_호텔약전전기공사(1공구)-발의" xfId="4022" xr:uid="{00000000-0005-0000-0000-0000A60F0000}"/>
    <cellStyle name="_화곡동롯데낙천대아파트내장공사" xfId="4023" xr:uid="{00000000-0005-0000-0000-0000A70F0000}"/>
    <cellStyle name="_화명통신정산" xfId="4024" xr:uid="{00000000-0005-0000-0000-0000A80F0000}"/>
    <cellStyle name="_화성태안아파트" xfId="4025" xr:uid="{00000000-0005-0000-0000-0000A90F0000}"/>
    <cellStyle name="_황제의 실행0623최종결재용" xfId="4026" xr:uid="{00000000-0005-0000-0000-0000AA0F0000}"/>
    <cellStyle name="_효성통합회의실(BOQ)제출" xfId="4027" xr:uid="{00000000-0005-0000-0000-0000AB0F0000}"/>
    <cellStyle name="_후로링공사사진" xfId="4028" xr:uid="{00000000-0005-0000-0000-0000AC0F0000}"/>
    <cellStyle name="_후로링정산" xfId="4029" xr:uid="{00000000-0005-0000-0000-0000AD0F0000}"/>
    <cellStyle name="´Þ·?" xfId="4030" xr:uid="{00000000-0005-0000-0000-0000AE0F0000}"/>
    <cellStyle name="’E‰Y [0.00]_laroux" xfId="4031" xr:uid="{00000000-0005-0000-0000-0000AF0F0000}"/>
    <cellStyle name="’E‰Y_laroux" xfId="4032" xr:uid="{00000000-0005-0000-0000-0000B00F0000}"/>
    <cellStyle name="¤@?e_TEST-1 " xfId="4033" xr:uid="{00000000-0005-0000-0000-0000B10F0000}"/>
    <cellStyle name="\MNPREF32.DLL&amp;" xfId="4034" xr:uid="{00000000-0005-0000-0000-0000B20F0000}"/>
    <cellStyle name="+,-,0" xfId="4035" xr:uid="{00000000-0005-0000-0000-0000B30F0000}"/>
    <cellStyle name="+,-,0 2" xfId="4036" xr:uid="{00000000-0005-0000-0000-0000B40F0000}"/>
    <cellStyle name="±a°e" xfId="4037" xr:uid="{00000000-0005-0000-0000-0000B50F0000}"/>
    <cellStyle name="△ []" xfId="4038" xr:uid="{00000000-0005-0000-0000-0000B60F0000}"/>
    <cellStyle name="△ [] 2" xfId="4039" xr:uid="{00000000-0005-0000-0000-0000B70F0000}"/>
    <cellStyle name="△ [0]" xfId="4040" xr:uid="{00000000-0005-0000-0000-0000B80F0000}"/>
    <cellStyle name="△ [0] 2" xfId="4041" xr:uid="{00000000-0005-0000-0000-0000B90F0000}"/>
    <cellStyle name="△백분율" xfId="4042" xr:uid="{00000000-0005-0000-0000-0000BA0F0000}"/>
    <cellStyle name="△콤마" xfId="4043" xr:uid="{00000000-0005-0000-0000-0000BB0F0000}"/>
    <cellStyle name="°iA¤¼O¼yA¡" xfId="4044" xr:uid="{00000000-0005-0000-0000-0000BC0F0000}"/>
    <cellStyle name="°iA¤Aa·A1" xfId="4045" xr:uid="{00000000-0005-0000-0000-0000BD0F0000}"/>
    <cellStyle name="°iA¤Aa·A2" xfId="4046" xr:uid="{00000000-0005-0000-0000-0000BE0F0000}"/>
    <cellStyle name="°ßAu" xfId="4047" xr:uid="{00000000-0005-0000-0000-0000BF0F0000}"/>
    <cellStyle name="µÚ¿¡ ¿À´Â ÇÏÀÌÆÛ¸µÅ©" xfId="4048" xr:uid="{00000000-0005-0000-0000-0000C00F0000}"/>
    <cellStyle name="_x0007_ _x000d__x000d_­­_x0007_ ­" xfId="4049" xr:uid="{00000000-0005-0000-0000-0000C10F0000}"/>
    <cellStyle name="æØè [0.00]_NT Server " xfId="4050" xr:uid="{00000000-0005-0000-0000-0000C20F0000}"/>
    <cellStyle name="æØè_NT Server " xfId="4051" xr:uid="{00000000-0005-0000-0000-0000C30F0000}"/>
    <cellStyle name="ÊÝ [0.00]_NT Server " xfId="4052" xr:uid="{00000000-0005-0000-0000-0000C40F0000}"/>
    <cellStyle name="ÊÝ_NT Server " xfId="4053" xr:uid="{00000000-0005-0000-0000-0000C50F0000}"/>
    <cellStyle name="W?_½RmF¼° " xfId="4054" xr:uid="{00000000-0005-0000-0000-0000C60F0000}"/>
    <cellStyle name="W_Pacific Region P&amp;L" xfId="4055" xr:uid="{00000000-0005-0000-0000-0000C70F0000}"/>
    <cellStyle name="0.0" xfId="4056" xr:uid="{00000000-0005-0000-0000-0000C80F0000}"/>
    <cellStyle name="0.00" xfId="4057" xr:uid="{00000000-0005-0000-0000-0000C90F0000}"/>
    <cellStyle name="¼yAU(R)" xfId="4058" xr:uid="{00000000-0005-0000-0000-0000CA0F0000}"/>
    <cellStyle name="1" xfId="4059" xr:uid="{00000000-0005-0000-0000-0000CB0F0000}"/>
    <cellStyle name="1 2" xfId="4060" xr:uid="{00000000-0005-0000-0000-0000CC0F0000}"/>
    <cellStyle name="¹?ºÐ?²_±¸¸?³³±?" xfId="4061" xr:uid="{00000000-0005-0000-0000-0000CD0F0000}"/>
    <cellStyle name="1_laroux" xfId="4062" xr:uid="{00000000-0005-0000-0000-0000CE0F0000}"/>
    <cellStyle name="1_laroux_ATC-YOON1" xfId="4063" xr:uid="{00000000-0005-0000-0000-0000CF0F0000}"/>
    <cellStyle name="1_가격산출서양식_20060623" xfId="4064" xr:uid="{00000000-0005-0000-0000-0000D00F0000}"/>
    <cellStyle name="1_단가조사표" xfId="4065" xr:uid="{00000000-0005-0000-0000-0000D10F0000}"/>
    <cellStyle name="1_단가조사표_1011소각" xfId="4066" xr:uid="{00000000-0005-0000-0000-0000D20F0000}"/>
    <cellStyle name="1_단가조사표_1113교~1" xfId="4067" xr:uid="{00000000-0005-0000-0000-0000D30F0000}"/>
    <cellStyle name="1_단가조사표_121내역" xfId="4068" xr:uid="{00000000-0005-0000-0000-0000D40F0000}"/>
    <cellStyle name="1_단가조사표_객토량" xfId="4069" xr:uid="{00000000-0005-0000-0000-0000D50F0000}"/>
    <cellStyle name="1_단가조사표_교통센~1" xfId="4070" xr:uid="{00000000-0005-0000-0000-0000D60F0000}"/>
    <cellStyle name="1_단가조사표_교통센터412" xfId="4071" xr:uid="{00000000-0005-0000-0000-0000D70F0000}"/>
    <cellStyle name="1_단가조사표_교통수" xfId="4072" xr:uid="{00000000-0005-0000-0000-0000D80F0000}"/>
    <cellStyle name="1_단가조사표_교통수량산출서" xfId="4073" xr:uid="{00000000-0005-0000-0000-0000D90F0000}"/>
    <cellStyle name="1_단가조사표_구조물대가 (2)" xfId="4074" xr:uid="{00000000-0005-0000-0000-0000DA0F0000}"/>
    <cellStyle name="1_단가조사표_내역서 (2)" xfId="4075" xr:uid="{00000000-0005-0000-0000-0000DB0F0000}"/>
    <cellStyle name="1_단가조사표_대전관저지구" xfId="4076" xr:uid="{00000000-0005-0000-0000-0000DC0F0000}"/>
    <cellStyle name="1_단가조사표_동측지~1" xfId="4077" xr:uid="{00000000-0005-0000-0000-0000DD0F0000}"/>
    <cellStyle name="1_단가조사표_동측지원422" xfId="4078" xr:uid="{00000000-0005-0000-0000-0000DE0F0000}"/>
    <cellStyle name="1_단가조사표_동측지원512" xfId="4079" xr:uid="{00000000-0005-0000-0000-0000DF0F0000}"/>
    <cellStyle name="1_단가조사표_동측지원524" xfId="4080" xr:uid="{00000000-0005-0000-0000-0000E00F0000}"/>
    <cellStyle name="1_단가조사표_부대422" xfId="4081" xr:uid="{00000000-0005-0000-0000-0000E10F0000}"/>
    <cellStyle name="1_단가조사표_부대시설" xfId="4082" xr:uid="{00000000-0005-0000-0000-0000E20F0000}"/>
    <cellStyle name="1_단가조사표_소각수~1" xfId="4083" xr:uid="{00000000-0005-0000-0000-0000E30F0000}"/>
    <cellStyle name="1_단가조사표_소각수내역서" xfId="4084" xr:uid="{00000000-0005-0000-0000-0000E40F0000}"/>
    <cellStyle name="1_단가조사표_소각수목2" xfId="4085" xr:uid="{00000000-0005-0000-0000-0000E50F0000}"/>
    <cellStyle name="1_단가조사표_수량산출서 (2)" xfId="4086" xr:uid="{00000000-0005-0000-0000-0000E60F0000}"/>
    <cellStyle name="1_단가조사표_엑스포~1" xfId="4087" xr:uid="{00000000-0005-0000-0000-0000E70F0000}"/>
    <cellStyle name="1_단가조사표_엑스포한빛1" xfId="4088" xr:uid="{00000000-0005-0000-0000-0000E80F0000}"/>
    <cellStyle name="1_단가조사표_여객터미널331" xfId="4089" xr:uid="{00000000-0005-0000-0000-0000E90F0000}"/>
    <cellStyle name="1_단가조사표_여객터미널513" xfId="4090" xr:uid="{00000000-0005-0000-0000-0000EA0F0000}"/>
    <cellStyle name="1_단가조사표_여객터미널629" xfId="4091" xr:uid="{00000000-0005-0000-0000-0000EB0F0000}"/>
    <cellStyle name="1_단가조사표_외곽도로616" xfId="4092" xr:uid="{00000000-0005-0000-0000-0000EC0F0000}"/>
    <cellStyle name="1_단가조사표_용인죽전수량" xfId="4093" xr:uid="{00000000-0005-0000-0000-0000ED0F0000}"/>
    <cellStyle name="1_단가조사표_원가계~1" xfId="4094" xr:uid="{00000000-0005-0000-0000-0000EE0F0000}"/>
    <cellStyle name="1_단가조사표_유기질" xfId="4095" xr:uid="{00000000-0005-0000-0000-0000EF0F0000}"/>
    <cellStyle name="1_단가조사표_자재조서 (2)" xfId="4096" xr:uid="{00000000-0005-0000-0000-0000F00F0000}"/>
    <cellStyle name="1_단가조사표_총괄내역" xfId="4097" xr:uid="{00000000-0005-0000-0000-0000F10F0000}"/>
    <cellStyle name="1_단가조사표_총괄내역 (2)" xfId="4098" xr:uid="{00000000-0005-0000-0000-0000F20F0000}"/>
    <cellStyle name="1_단가조사표_터미널도로403" xfId="4099" xr:uid="{00000000-0005-0000-0000-0000F30F0000}"/>
    <cellStyle name="1_단가조사표_터미널도로429" xfId="4100" xr:uid="{00000000-0005-0000-0000-0000F40F0000}"/>
    <cellStyle name="1_단가조사표_포장일위" xfId="4101" xr:uid="{00000000-0005-0000-0000-0000F50F0000}"/>
    <cellStyle name="1_대전목양초" xfId="4102" xr:uid="{00000000-0005-0000-0000-0000F60F0000}"/>
    <cellStyle name="1_부산한국은행-빙축열시스템-품셈적용견적-20060622" xfId="4103" xr:uid="{00000000-0005-0000-0000-0000F70F0000}"/>
    <cellStyle name="1_부산한국은행-빙축열시스템-품셈적용견적-20060628" xfId="4104" xr:uid="{00000000-0005-0000-0000-0000F80F0000}"/>
    <cellStyle name="1_부산한국은행-축열식지열시스템-품셈적용견적-20060622" xfId="4105" xr:uid="{00000000-0005-0000-0000-0000F90F0000}"/>
    <cellStyle name="1_빙축열 자동제어" xfId="4106" xr:uid="{00000000-0005-0000-0000-0000FA0F0000}"/>
    <cellStyle name="1_빙축열견적_20060628-1" xfId="4107" xr:uid="{00000000-0005-0000-0000-0000FB0F0000}"/>
    <cellStyle name="1_빙축열견적_자동제어_20060628" xfId="4108" xr:uid="{00000000-0005-0000-0000-0000FC0F0000}"/>
    <cellStyle name="1_수축열시스템051031" xfId="4109" xr:uid="{00000000-0005-0000-0000-0000FD0F0000}"/>
    <cellStyle name="1_수축열시스템051031-철도공사 물량내역" xfId="4110" xr:uid="{00000000-0005-0000-0000-0000FE0F0000}"/>
    <cellStyle name="1_수축열시스템051216" xfId="4111" xr:uid="{00000000-0005-0000-0000-0000FF0F0000}"/>
    <cellStyle name="1_시민계략공사" xfId="4112" xr:uid="{00000000-0005-0000-0000-000000100000}"/>
    <cellStyle name="1_시민계략공사_2002년도각종계산서너릿제터널등7개소" xfId="4113" xr:uid="{00000000-0005-0000-0000-000001100000}"/>
    <cellStyle name="1_시민계략공사_Book2" xfId="4114" xr:uid="{00000000-0005-0000-0000-000002100000}"/>
    <cellStyle name="1_시민계략공사_가격산출서양식_20060623" xfId="4115" xr:uid="{00000000-0005-0000-0000-000003100000}"/>
    <cellStyle name="1_시민계략공사_계산서및내역서5월9일변경" xfId="4116" xr:uid="{00000000-0005-0000-0000-000004100000}"/>
    <cellStyle name="1_시민계략공사_광양중동중학교실증축공사(전기)-4월10일한번더" xfId="4117" xr:uid="{00000000-0005-0000-0000-000005100000}"/>
    <cellStyle name="1_시민계략공사_무안연꽃방죽(4월9일)한번더" xfId="4118" xr:uid="{00000000-0005-0000-0000-000006100000}"/>
    <cellStyle name="1_시민계략공사_보일약국~순국비간 도로개설 가로등설치공사" xfId="4119" xr:uid="{00000000-0005-0000-0000-000007100000}"/>
    <cellStyle name="1_시민계략공사_봉산면보건지소신축공사(전기)11월30일변경" xfId="4120" xr:uid="{00000000-0005-0000-0000-000008100000}"/>
    <cellStyle name="1_시민계략공사_부산한국은행-빙축열시스템-품셈적용견적-20060622" xfId="4121" xr:uid="{00000000-0005-0000-0000-000009100000}"/>
    <cellStyle name="1_시민계략공사_부산한국은행-빙축열시스템-품셈적용견적-20060628" xfId="4122" xr:uid="{00000000-0005-0000-0000-00000A100000}"/>
    <cellStyle name="1_시민계략공사_부산한국은행-축열식지열시스템-품셈적용견적-20060622" xfId="4123" xr:uid="{00000000-0005-0000-0000-00000B100000}"/>
    <cellStyle name="1_시민계략공사_북문로(팔마로)가로등설치공사(변경)3월11일" xfId="4124" xr:uid="{00000000-0005-0000-0000-00000C100000}"/>
    <cellStyle name="1_시민계략공사_북문팔마로확포장공사가로등" xfId="4125" xr:uid="{00000000-0005-0000-0000-00000D100000}"/>
    <cellStyle name="1_시민계략공사_빙축열 자동제어" xfId="4126" xr:uid="{00000000-0005-0000-0000-00000E100000}"/>
    <cellStyle name="1_시민계략공사_빙축열견적_20060628-1" xfId="4127" xr:uid="{00000000-0005-0000-0000-00000F100000}"/>
    <cellStyle name="1_시민계략공사_빙축열견적_자동제어_20060628" xfId="4128" xr:uid="{00000000-0005-0000-0000-000010100000}"/>
    <cellStyle name="1_시민계략공사_수축열시스템051031" xfId="4129" xr:uid="{00000000-0005-0000-0000-000011100000}"/>
    <cellStyle name="1_시민계략공사_수축열시스템051031-철도공사 물량내역" xfId="4130" xr:uid="{00000000-0005-0000-0000-000012100000}"/>
    <cellStyle name="1_시민계략공사_수축열시스템051216" xfId="4131" xr:uid="{00000000-0005-0000-0000-000013100000}"/>
    <cellStyle name="1_시민계략공사_율촌중학교심야전기" xfId="4132" xr:uid="{00000000-0005-0000-0000-000014100000}"/>
    <cellStyle name="1_시민계략공사_전기-한남" xfId="4133" xr:uid="{00000000-0005-0000-0000-000015100000}"/>
    <cellStyle name="1_시민계략공사_지열견적서_20060628" xfId="4134" xr:uid="{00000000-0005-0000-0000-000016100000}"/>
    <cellStyle name="1_시민계략공사_지열견적서_자동제어_20060628" xfId="4135" xr:uid="{00000000-0005-0000-0000-000017100000}"/>
    <cellStyle name="1_지열견적서_20060628" xfId="4136" xr:uid="{00000000-0005-0000-0000-000018100000}"/>
    <cellStyle name="1_지열견적서_자동제어_20060628" xfId="4137" xr:uid="{00000000-0005-0000-0000-000019100000}"/>
    <cellStyle name="1_천천고고등학교교사신축공사(산출내역집계표)" xfId="4138" xr:uid="{00000000-0005-0000-0000-00001A100000}"/>
    <cellStyle name="10" xfId="4139" xr:uid="{00000000-0005-0000-0000-00001B100000}"/>
    <cellStyle name="¹e" xfId="4140" xr:uid="{00000000-0005-0000-0000-00001C100000}"/>
    <cellStyle name="¹éºÐÀ²_±¸¸Å³³±â" xfId="4141" xr:uid="{00000000-0005-0000-0000-00001D100000}"/>
    <cellStyle name="2" xfId="4142" xr:uid="{00000000-0005-0000-0000-00001E100000}"/>
    <cellStyle name="²" xfId="4143" xr:uid="{00000000-0005-0000-0000-00001F100000}"/>
    <cellStyle name="2)" xfId="4144" xr:uid="{00000000-0005-0000-0000-000020100000}"/>
    <cellStyle name="2_laroux" xfId="4145" xr:uid="{00000000-0005-0000-0000-000021100000}"/>
    <cellStyle name="2_laroux_ATC-YOON1" xfId="4146" xr:uid="{00000000-0005-0000-0000-000022100000}"/>
    <cellStyle name="2_단가조사표" xfId="4147" xr:uid="{00000000-0005-0000-0000-000023100000}"/>
    <cellStyle name="2_단가조사표_1011소각" xfId="4148" xr:uid="{00000000-0005-0000-0000-000024100000}"/>
    <cellStyle name="2_단가조사표_1113교~1" xfId="4149" xr:uid="{00000000-0005-0000-0000-000025100000}"/>
    <cellStyle name="2_단가조사표_121내역" xfId="4150" xr:uid="{00000000-0005-0000-0000-000026100000}"/>
    <cellStyle name="2_단가조사표_객토량" xfId="4151" xr:uid="{00000000-0005-0000-0000-000027100000}"/>
    <cellStyle name="2_단가조사표_교통센~1" xfId="4152" xr:uid="{00000000-0005-0000-0000-000028100000}"/>
    <cellStyle name="2_단가조사표_교통센터412" xfId="4153" xr:uid="{00000000-0005-0000-0000-000029100000}"/>
    <cellStyle name="2_단가조사표_교통수" xfId="4154" xr:uid="{00000000-0005-0000-0000-00002A100000}"/>
    <cellStyle name="2_단가조사표_교통수량산출서" xfId="4155" xr:uid="{00000000-0005-0000-0000-00002B100000}"/>
    <cellStyle name="2_단가조사표_구조물대가 (2)" xfId="4156" xr:uid="{00000000-0005-0000-0000-00002C100000}"/>
    <cellStyle name="2_단가조사표_내역서 (2)" xfId="4157" xr:uid="{00000000-0005-0000-0000-00002D100000}"/>
    <cellStyle name="2_단가조사표_대전관저지구" xfId="4158" xr:uid="{00000000-0005-0000-0000-00002E100000}"/>
    <cellStyle name="2_단가조사표_동측지~1" xfId="4159" xr:uid="{00000000-0005-0000-0000-00002F100000}"/>
    <cellStyle name="2_단가조사표_동측지원422" xfId="4160" xr:uid="{00000000-0005-0000-0000-000030100000}"/>
    <cellStyle name="2_단가조사표_동측지원512" xfId="4161" xr:uid="{00000000-0005-0000-0000-000031100000}"/>
    <cellStyle name="2_단가조사표_동측지원524" xfId="4162" xr:uid="{00000000-0005-0000-0000-000032100000}"/>
    <cellStyle name="2_단가조사표_부대422" xfId="4163" xr:uid="{00000000-0005-0000-0000-000033100000}"/>
    <cellStyle name="2_단가조사표_부대시설" xfId="4164" xr:uid="{00000000-0005-0000-0000-000034100000}"/>
    <cellStyle name="2_단가조사표_소각수~1" xfId="4165" xr:uid="{00000000-0005-0000-0000-000035100000}"/>
    <cellStyle name="2_단가조사표_소각수내역서" xfId="4166" xr:uid="{00000000-0005-0000-0000-000036100000}"/>
    <cellStyle name="2_단가조사표_소각수목2" xfId="4167" xr:uid="{00000000-0005-0000-0000-000037100000}"/>
    <cellStyle name="2_단가조사표_수량산출서 (2)" xfId="4168" xr:uid="{00000000-0005-0000-0000-000038100000}"/>
    <cellStyle name="2_단가조사표_엑스포~1" xfId="4169" xr:uid="{00000000-0005-0000-0000-000039100000}"/>
    <cellStyle name="2_단가조사표_엑스포한빛1" xfId="4170" xr:uid="{00000000-0005-0000-0000-00003A100000}"/>
    <cellStyle name="2_단가조사표_여객터미널331" xfId="4171" xr:uid="{00000000-0005-0000-0000-00003B100000}"/>
    <cellStyle name="2_단가조사표_여객터미널513" xfId="4172" xr:uid="{00000000-0005-0000-0000-00003C100000}"/>
    <cellStyle name="2_단가조사표_여객터미널629" xfId="4173" xr:uid="{00000000-0005-0000-0000-00003D100000}"/>
    <cellStyle name="2_단가조사표_외곽도로616" xfId="4174" xr:uid="{00000000-0005-0000-0000-00003E100000}"/>
    <cellStyle name="2_단가조사표_용인죽전수량" xfId="4175" xr:uid="{00000000-0005-0000-0000-00003F100000}"/>
    <cellStyle name="2_단가조사표_원가계~1" xfId="4176" xr:uid="{00000000-0005-0000-0000-000040100000}"/>
    <cellStyle name="2_단가조사표_유기질" xfId="4177" xr:uid="{00000000-0005-0000-0000-000041100000}"/>
    <cellStyle name="2_단가조사표_자재조서 (2)" xfId="4178" xr:uid="{00000000-0005-0000-0000-000042100000}"/>
    <cellStyle name="2_단가조사표_총괄내역" xfId="4179" xr:uid="{00000000-0005-0000-0000-000043100000}"/>
    <cellStyle name="2_단가조사표_총괄내역 (2)" xfId="4180" xr:uid="{00000000-0005-0000-0000-000044100000}"/>
    <cellStyle name="2_단가조사표_터미널도로403" xfId="4181" xr:uid="{00000000-0005-0000-0000-000045100000}"/>
    <cellStyle name="2_단가조사표_터미널도로429" xfId="4182" xr:uid="{00000000-0005-0000-0000-000046100000}"/>
    <cellStyle name="2_단가조사표_포장일위" xfId="4183" xr:uid="{00000000-0005-0000-0000-000047100000}"/>
    <cellStyle name="20% - 강조색1 2" xfId="4184" xr:uid="{00000000-0005-0000-0000-000048100000}"/>
    <cellStyle name="20% - 강조색2 2" xfId="4185" xr:uid="{00000000-0005-0000-0000-000049100000}"/>
    <cellStyle name="20% - 강조색3 2" xfId="4186" xr:uid="{00000000-0005-0000-0000-00004A100000}"/>
    <cellStyle name="20% - 강조색4 2" xfId="4187" xr:uid="{00000000-0005-0000-0000-00004B100000}"/>
    <cellStyle name="20% - 강조색5 2" xfId="4188" xr:uid="{00000000-0005-0000-0000-00004C100000}"/>
    <cellStyle name="20% - 강조색6 2" xfId="4189" xr:uid="{00000000-0005-0000-0000-00004D100000}"/>
    <cellStyle name="³?A￥" xfId="4190" xr:uid="{00000000-0005-0000-0000-00004E100000}"/>
    <cellStyle name="³f¹ô[0]_pldt" xfId="4191" xr:uid="{00000000-0005-0000-0000-00004F100000}"/>
    <cellStyle name="³f¹ô_pldt" xfId="4192" xr:uid="{00000000-0005-0000-0000-000050100000}"/>
    <cellStyle name="40% - 강조색1 2" xfId="4193" xr:uid="{00000000-0005-0000-0000-000051100000}"/>
    <cellStyle name="40% - 강조색2 2" xfId="4194" xr:uid="{00000000-0005-0000-0000-000052100000}"/>
    <cellStyle name="40% - 강조색3 2" xfId="4195" xr:uid="{00000000-0005-0000-0000-000053100000}"/>
    <cellStyle name="40% - 강조색4 2" xfId="4196" xr:uid="{00000000-0005-0000-0000-000054100000}"/>
    <cellStyle name="40% - 강조색5 2" xfId="4197" xr:uid="{00000000-0005-0000-0000-000055100000}"/>
    <cellStyle name="40% - 강조색6 2" xfId="4198" xr:uid="{00000000-0005-0000-0000-000056100000}"/>
    <cellStyle name="60" xfId="4199" xr:uid="{00000000-0005-0000-0000-000057100000}"/>
    <cellStyle name="60 2" xfId="4200" xr:uid="{00000000-0005-0000-0000-000058100000}"/>
    <cellStyle name="60% - 강조색1 2" xfId="4201" xr:uid="{00000000-0005-0000-0000-000059100000}"/>
    <cellStyle name="60% - 강조색2 2" xfId="4202" xr:uid="{00000000-0005-0000-0000-00005A100000}"/>
    <cellStyle name="60% - 강조색3 2" xfId="4203" xr:uid="{00000000-0005-0000-0000-00005B100000}"/>
    <cellStyle name="60% - 강조색4 2" xfId="4204" xr:uid="{00000000-0005-0000-0000-00005C100000}"/>
    <cellStyle name="60% - 강조색5 2" xfId="4205" xr:uid="{00000000-0005-0000-0000-00005D100000}"/>
    <cellStyle name="60% - 강조색6 2" xfId="4206" xr:uid="{00000000-0005-0000-0000-00005E100000}"/>
    <cellStyle name="82" xfId="4207" xr:uid="{00000000-0005-0000-0000-00005F100000}"/>
    <cellStyle name="90" xfId="4208" xr:uid="{00000000-0005-0000-0000-000060100000}"/>
    <cellStyle name="A" xfId="4209" xr:uid="{00000000-0005-0000-0000-000061100000}"/>
    <cellStyle name="A_02-도급공사비내역" xfId="4210" xr:uid="{00000000-0005-0000-0000-000062100000}"/>
    <cellStyle name="A_04028적산수량집계" xfId="4211" xr:uid="{00000000-0005-0000-0000-000063100000}"/>
    <cellStyle name="a_0514회의확정자료" xfId="4212" xr:uid="{00000000-0005-0000-0000-000064100000}"/>
    <cellStyle name="A_0901작업1-금액분리" xfId="4213" xr:uid="{00000000-0005-0000-0000-000065100000}"/>
    <cellStyle name="A_A0509-가실행(파주)" xfId="4214" xr:uid="{00000000-0005-0000-0000-000066100000}"/>
    <cellStyle name="a_A-0902건축공사확정(대안포함)" xfId="4215" xr:uid="{00000000-0005-0000-0000-000067100000}"/>
    <cellStyle name="a_A-0902조경공사확정(대안포함)" xfId="4216" xr:uid="{00000000-0005-0000-0000-000068100000}"/>
    <cellStyle name="A_BOOKCITY(전기)" xfId="4217" xr:uid="{00000000-0005-0000-0000-000069100000}"/>
    <cellStyle name="A_BOOKCITY(전기)_04028적산수량집계" xfId="4218" xr:uid="{00000000-0005-0000-0000-00006A100000}"/>
    <cellStyle name="A_Z01-본작업" xfId="4219" xr:uid="{00000000-0005-0000-0000-00006B100000}"/>
    <cellStyle name="A_가실행(3th)" xfId="4220" xr:uid="{00000000-0005-0000-0000-00006C100000}"/>
    <cellStyle name="A_결정01-총괄가실행(0820)" xfId="4221" xr:uid="{00000000-0005-0000-0000-00006D100000}"/>
    <cellStyle name="A_공설운동진입(가실행)" xfId="4222" xr:uid="{00000000-0005-0000-0000-00006E100000}"/>
    <cellStyle name="A_공설운동진입(가실행)_04028적산수량집계" xfId="4223" xr:uid="{00000000-0005-0000-0000-00006F100000}"/>
    <cellStyle name="A_공설운동진입(가실행)_BOOKCITY(전기)" xfId="4224" xr:uid="{00000000-0005-0000-0000-000070100000}"/>
    <cellStyle name="A_공설운동진입(가실행)_BOOKCITY(전기)_04028적산수량집계" xfId="4225" xr:uid="{00000000-0005-0000-0000-000071100000}"/>
    <cellStyle name="A_공설운동진입(가실행)_사본 - 파주 북시티(이채)" xfId="4226" xr:uid="{00000000-0005-0000-0000-000072100000}"/>
    <cellStyle name="A_공설운동진입(가실행)_사본 - 파주 북시티(이채)_04028적산수량집계" xfId="4227" xr:uid="{00000000-0005-0000-0000-000073100000}"/>
    <cellStyle name="A_공설운동진입(가실행)_파주 BOOK CITY(통보용)" xfId="4228" xr:uid="{00000000-0005-0000-0000-000074100000}"/>
    <cellStyle name="A_공설운동진입(가실행)_파주 BOOK CITY(통보용)_04028적산수량집계" xfId="4229" xr:uid="{00000000-0005-0000-0000-000075100000}"/>
    <cellStyle name="A_공설운동진입(가실행)_파주 BOOK CITY가실행내역" xfId="4230" xr:uid="{00000000-0005-0000-0000-000076100000}"/>
    <cellStyle name="A_공설운동진입(가실행)_파주 BOOK CITY가실행내역_04028적산수량집계" xfId="4231" xr:uid="{00000000-0005-0000-0000-000077100000}"/>
    <cellStyle name="A_공설운동진입(가실행)_파주 북시티(이채)제출" xfId="4232" xr:uid="{00000000-0005-0000-0000-000078100000}"/>
    <cellStyle name="A_공설운동진입(가실행)_파주 북시티(이채)제출_04028적산수량집계" xfId="4233" xr:uid="{00000000-0005-0000-0000-000079100000}"/>
    <cellStyle name="A_공설운동진입(가실행)_파주 북시티(전체)제출(변경전)" xfId="4234" xr:uid="{00000000-0005-0000-0000-00007A100000}"/>
    <cellStyle name="A_공설운동진입(가실행)_파주 북시티(전체)제출(변경전)_04028적산수량집계" xfId="4235" xr:uid="{00000000-0005-0000-0000-00007B100000}"/>
    <cellStyle name="a_공항관련공사비 비교" xfId="4236" xr:uid="{00000000-0005-0000-0000-00007C100000}"/>
    <cellStyle name="A_당팀-가실행작업" xfId="4237" xr:uid="{00000000-0005-0000-0000-00007D100000}"/>
    <cellStyle name="A_도급공사변경Ⅰ(0626)" xfId="4238" xr:uid="{00000000-0005-0000-0000-00007E100000}"/>
    <cellStyle name="A_보고02-건축공사감액보고서(0714)" xfId="4239" xr:uid="{00000000-0005-0000-0000-00007F100000}"/>
    <cellStyle name="A_분석001-구조체투입관련" xfId="4240" xr:uid="{00000000-0005-0000-0000-000080100000}"/>
    <cellStyle name="A_사본 - 0429파본사" xfId="4241" xr:uid="{00000000-0005-0000-0000-000081100000}"/>
    <cellStyle name="A_사본 - 파주 북시티(이채)" xfId="4242" xr:uid="{00000000-0005-0000-0000-000082100000}"/>
    <cellStyle name="A_사본 - 파주 북시티(이채)_04028적산수량집계" xfId="4243" xr:uid="{00000000-0005-0000-0000-000083100000}"/>
    <cellStyle name="A_실행01-총괄가실행(0828)" xfId="4244" xr:uid="{00000000-0005-0000-0000-000084100000}"/>
    <cellStyle name="a_자료03-대안수량조정실행대비표" xfId="4245" xr:uid="{00000000-0005-0000-0000-000085100000}"/>
    <cellStyle name="a_자료06-토목공사" xfId="4246" xr:uid="{00000000-0005-0000-0000-000086100000}"/>
    <cellStyle name="a_작업01-조경공사0709" xfId="4247" xr:uid="{00000000-0005-0000-0000-000087100000}"/>
    <cellStyle name="a_참고02-당초가실행" xfId="4248" xr:uid="{00000000-0005-0000-0000-000088100000}"/>
    <cellStyle name="A_토목내역서" xfId="4249" xr:uid="{00000000-0005-0000-0000-000089100000}"/>
    <cellStyle name="A_토목내역서_04028적산수량집계" xfId="4250" xr:uid="{00000000-0005-0000-0000-00008A100000}"/>
    <cellStyle name="A_토목내역서_BOOKCITY(전기)" xfId="4251" xr:uid="{00000000-0005-0000-0000-00008B100000}"/>
    <cellStyle name="A_토목내역서_BOOKCITY(전기)_04028적산수량집계" xfId="4252" xr:uid="{00000000-0005-0000-0000-00008C100000}"/>
    <cellStyle name="A_토목내역서_공설운동진입(가실행)" xfId="4253" xr:uid="{00000000-0005-0000-0000-00008D100000}"/>
    <cellStyle name="A_토목내역서_공설운동진입(가실행)_04028적산수량집계" xfId="4254" xr:uid="{00000000-0005-0000-0000-00008E100000}"/>
    <cellStyle name="A_토목내역서_공설운동진입(가실행)_BOOKCITY(전기)" xfId="4255" xr:uid="{00000000-0005-0000-0000-00008F100000}"/>
    <cellStyle name="A_토목내역서_공설운동진입(가실행)_BOOKCITY(전기)_04028적산수량집계" xfId="4256" xr:uid="{00000000-0005-0000-0000-000090100000}"/>
    <cellStyle name="A_토목내역서_공설운동진입(가실행)_사본 - 파주 북시티(이채)" xfId="4257" xr:uid="{00000000-0005-0000-0000-000091100000}"/>
    <cellStyle name="A_토목내역서_공설운동진입(가실행)_사본 - 파주 북시티(이채)_04028적산수량집계" xfId="4258" xr:uid="{00000000-0005-0000-0000-000092100000}"/>
    <cellStyle name="A_토목내역서_공설운동진입(가실행)_파주 BOOK CITY(통보용)" xfId="4259" xr:uid="{00000000-0005-0000-0000-000093100000}"/>
    <cellStyle name="A_토목내역서_공설운동진입(가실행)_파주 BOOK CITY(통보용)_04028적산수량집계" xfId="4260" xr:uid="{00000000-0005-0000-0000-000094100000}"/>
    <cellStyle name="A_토목내역서_공설운동진입(가실행)_파주 BOOK CITY가실행내역" xfId="4261" xr:uid="{00000000-0005-0000-0000-000095100000}"/>
    <cellStyle name="A_토목내역서_공설운동진입(가실행)_파주 BOOK CITY가실행내역_04028적산수량집계" xfId="4262" xr:uid="{00000000-0005-0000-0000-000096100000}"/>
    <cellStyle name="A_토목내역서_공설운동진입(가실행)_파주 북시티(이채)제출" xfId="4263" xr:uid="{00000000-0005-0000-0000-000097100000}"/>
    <cellStyle name="A_토목내역서_공설운동진입(가실행)_파주 북시티(이채)제출_04028적산수량집계" xfId="4264" xr:uid="{00000000-0005-0000-0000-000098100000}"/>
    <cellStyle name="A_토목내역서_공설운동진입(가실행)_파주 북시티(전체)제출(변경전)" xfId="4265" xr:uid="{00000000-0005-0000-0000-000099100000}"/>
    <cellStyle name="A_토목내역서_공설운동진입(가실행)_파주 북시티(전체)제출(변경전)_04028적산수량집계" xfId="4266" xr:uid="{00000000-0005-0000-0000-00009A100000}"/>
    <cellStyle name="A_토목내역서_사본 - 파주 북시티(이채)" xfId="4267" xr:uid="{00000000-0005-0000-0000-00009B100000}"/>
    <cellStyle name="A_토목내역서_사본 - 파주 북시티(이채)_04028적산수량집계" xfId="4268" xr:uid="{00000000-0005-0000-0000-00009C100000}"/>
    <cellStyle name="A_토목내역서_파주 BOOK CITY(통보용)" xfId="4269" xr:uid="{00000000-0005-0000-0000-00009D100000}"/>
    <cellStyle name="A_토목내역서_파주 BOOK CITY(통보용)_04028적산수량집계" xfId="4270" xr:uid="{00000000-0005-0000-0000-00009E100000}"/>
    <cellStyle name="A_토목내역서_파주 BOOK CITY가실행내역" xfId="4271" xr:uid="{00000000-0005-0000-0000-00009F100000}"/>
    <cellStyle name="A_토목내역서_파주 BOOK CITY가실행내역_04028적산수량집계" xfId="4272" xr:uid="{00000000-0005-0000-0000-0000A0100000}"/>
    <cellStyle name="A_토목내역서_파주 북시티(이채)제출" xfId="4273" xr:uid="{00000000-0005-0000-0000-0000A1100000}"/>
    <cellStyle name="A_토목내역서_파주 북시티(이채)제출_04028적산수량집계" xfId="4274" xr:uid="{00000000-0005-0000-0000-0000A2100000}"/>
    <cellStyle name="A_토목내역서_파주 북시티(전체)제출(변경전)" xfId="4275" xr:uid="{00000000-0005-0000-0000-0000A3100000}"/>
    <cellStyle name="A_토목내역서_파주 북시티(전체)제출(변경전)_04028적산수량집계" xfId="4276" xr:uid="{00000000-0005-0000-0000-0000A4100000}"/>
    <cellStyle name="A_파주 BOOK CITY(통보용)" xfId="4277" xr:uid="{00000000-0005-0000-0000-0000A5100000}"/>
    <cellStyle name="A_파주 BOOK CITY(통보용)_04028적산수량집계" xfId="4278" xr:uid="{00000000-0005-0000-0000-0000A6100000}"/>
    <cellStyle name="A_파주 BOOK CITY가실행내역" xfId="4279" xr:uid="{00000000-0005-0000-0000-0000A7100000}"/>
    <cellStyle name="A_파주 BOOK CITY가실행내역_04028적산수량집계" xfId="4280" xr:uid="{00000000-0005-0000-0000-0000A8100000}"/>
    <cellStyle name="A_파주 북시티(이채)제출" xfId="4281" xr:uid="{00000000-0005-0000-0000-0000A9100000}"/>
    <cellStyle name="A_파주 북시티(이채)제출_04028적산수량집계" xfId="4282" xr:uid="{00000000-0005-0000-0000-0000AA100000}"/>
    <cellStyle name="A_파주 북시티(전체)제출(변경전)" xfId="4283" xr:uid="{00000000-0005-0000-0000-0000AB100000}"/>
    <cellStyle name="A_파주 북시티(전체)제출(변경전)_04028적산수량집계" xfId="4284" xr:uid="{00000000-0005-0000-0000-0000AC100000}"/>
    <cellStyle name="a_파주1차가실행(통합)-대안1-현장분" xfId="4285" xr:uid="{00000000-0005-0000-0000-0000AD100000}"/>
    <cellStyle name="A¨­???? [0]_INQUIRY ????¨?¡?A??A?ª " xfId="4286" xr:uid="{00000000-0005-0000-0000-0000AE100000}"/>
    <cellStyle name="A¨­????_INQUIRY ????¨?¡?A??A?ª " xfId="4287" xr:uid="{00000000-0005-0000-0000-0000AF100000}"/>
    <cellStyle name="A¨­￠￢￠O [0]_¨uoAa¨oCAu " xfId="4288" xr:uid="{00000000-0005-0000-0000-0000B0100000}"/>
    <cellStyle name="A¨­¢¬¢Ò [0]_INQUIRY ¢¯¥ì¨ú¡ÀA©¬A©ª " xfId="4289" xr:uid="{00000000-0005-0000-0000-0000B1100000}"/>
    <cellStyle name="A¨­￠￢￠O_¨uoAa¨oCAu " xfId="4290" xr:uid="{00000000-0005-0000-0000-0000B2100000}"/>
    <cellStyle name="A¨­¢¬¢Ò_INQUIRY ¢¯¥ì¨ú¡ÀA©¬A©ª " xfId="4291" xr:uid="{00000000-0005-0000-0000-0000B3100000}"/>
    <cellStyle name="Aⓒ­" xfId="4292" xr:uid="{00000000-0005-0000-0000-0000B4100000}"/>
    <cellStyle name="Ae" xfId="4293" xr:uid="{00000000-0005-0000-0000-0000B5100000}"/>
    <cellStyle name="Aee­ " xfId="4294" xr:uid="{00000000-0005-0000-0000-0000B6100000}"/>
    <cellStyle name="Aee­  2" xfId="4295" xr:uid="{00000000-0005-0000-0000-0000B7100000}"/>
    <cellStyle name="AeE­ [0]_ 2ÆAAþº° " xfId="4296" xr:uid="{00000000-0005-0000-0000-0000B8100000}"/>
    <cellStyle name="ÅëÈ­ [0]_´ëºñÇ¥" xfId="4297" xr:uid="{00000000-0005-0000-0000-0000B9100000}"/>
    <cellStyle name="AeE­ [0]_¸ðCu¸·" xfId="4298" xr:uid="{00000000-0005-0000-0000-0000BA100000}"/>
    <cellStyle name="ÅëÈ­ [0]_¸ðÇü¸·" xfId="4299" xr:uid="{00000000-0005-0000-0000-0000BB100000}"/>
    <cellStyle name="AeE­ [0]_¿­¸° INT" xfId="4300" xr:uid="{00000000-0005-0000-0000-0000BC100000}"/>
    <cellStyle name="ÅëÈ­ [0]_±âÅ¸" xfId="4301" xr:uid="{00000000-0005-0000-0000-0000BD100000}"/>
    <cellStyle name="AeE­ [0]_°ø≫cºn¿¹≫e¼­ " xfId="4302" xr:uid="{00000000-0005-0000-0000-0000BE100000}"/>
    <cellStyle name="ÅëÈ­ [0]_°ø¹®¾ç½Ä" xfId="4303" xr:uid="{00000000-0005-0000-0000-0000BF100000}"/>
    <cellStyle name="AeE­ [0]_°u¸RC×¸n_¾÷A¾º° " xfId="4304" xr:uid="{00000000-0005-0000-0000-0000C0100000}"/>
    <cellStyle name="ÅëÈ­ [0]_¼öÀÍ¼º " xfId="4305" xr:uid="{00000000-0005-0000-0000-0000C1100000}"/>
    <cellStyle name="AeE­ [0]_¼oAI¼º _광명전기" xfId="4306" xr:uid="{00000000-0005-0000-0000-0000C2100000}"/>
    <cellStyle name="ÅëÈ­ [0]_2000¼ÕÈ® " xfId="4307" xr:uid="{00000000-0005-0000-0000-0000C3100000}"/>
    <cellStyle name="AeE­ [0]_³≫ºI°eE¹´e AßA¤A÷AI " xfId="4308" xr:uid="{00000000-0005-0000-0000-0000C4100000}"/>
    <cellStyle name="ÅëÈ­ [0]_Á¤»ê¼­°©Áö" xfId="4309" xr:uid="{00000000-0005-0000-0000-0000C5100000}"/>
    <cellStyle name="AeE­ [0]_E¸AaAO½A " xfId="4310" xr:uid="{00000000-0005-0000-0000-0000C6100000}"/>
    <cellStyle name="ÅëÈ­ [0]_FINAL(¿øº») " xfId="4311" xr:uid="{00000000-0005-0000-0000-0000C7100000}"/>
    <cellStyle name="AeE­ [0]_INQUIRY ¿μ¾÷AßAø " xfId="4312" xr:uid="{00000000-0005-0000-0000-0000C8100000}"/>
    <cellStyle name="ÅëÈ­ [0]_kc-elec system check list" xfId="4313" xr:uid="{00000000-0005-0000-0000-0000C9100000}"/>
    <cellStyle name="AeE­ [0]_º≫¼± ±æ¾i±uºI ¼o·R Ay°eC￥ " xfId="4314" xr:uid="{00000000-0005-0000-0000-0000CA100000}"/>
    <cellStyle name="ÅëÈ­ [0]_RESULTS" xfId="4315" xr:uid="{00000000-0005-0000-0000-0000CB100000}"/>
    <cellStyle name="AeE­ [0]_μμ±Þ°ø≫cºn " xfId="4316" xr:uid="{00000000-0005-0000-0000-0000CC100000}"/>
    <cellStyle name="Aee­ _04028적산수량집계" xfId="4317" xr:uid="{00000000-0005-0000-0000-0000CD100000}"/>
    <cellStyle name="AeE­_ 2ÆAAþº° " xfId="4318" xr:uid="{00000000-0005-0000-0000-0000CE100000}"/>
    <cellStyle name="ÅëÈ­_´ëºñÇ¥" xfId="4319" xr:uid="{00000000-0005-0000-0000-0000CF100000}"/>
    <cellStyle name="AeE­_¸ðCu¸·" xfId="4320" xr:uid="{00000000-0005-0000-0000-0000D0100000}"/>
    <cellStyle name="ÅëÈ­_¸ðÇü¸·" xfId="4321" xr:uid="{00000000-0005-0000-0000-0000D1100000}"/>
    <cellStyle name="AeE­_¿­¸° INT" xfId="4322" xr:uid="{00000000-0005-0000-0000-0000D2100000}"/>
    <cellStyle name="ÅëÈ­_±âÅ¸" xfId="4323" xr:uid="{00000000-0005-0000-0000-0000D3100000}"/>
    <cellStyle name="AeE­_°ø≫cºn¿¹≫e¼­ " xfId="4324" xr:uid="{00000000-0005-0000-0000-0000D4100000}"/>
    <cellStyle name="ÅëÈ­_°ø¹®¾ç½Ä" xfId="4325" xr:uid="{00000000-0005-0000-0000-0000D5100000}"/>
    <cellStyle name="AeE­_°u¸RC×¸n_¾÷A¾º° " xfId="4326" xr:uid="{00000000-0005-0000-0000-0000D6100000}"/>
    <cellStyle name="ÅëÈ­_¼öÀÍ¼º " xfId="4327" xr:uid="{00000000-0005-0000-0000-0000D7100000}"/>
    <cellStyle name="AeE­_¼oAI¼º _광명전기" xfId="4328" xr:uid="{00000000-0005-0000-0000-0000D8100000}"/>
    <cellStyle name="ÅëÈ­_2000¼ÕÈ® " xfId="4329" xr:uid="{00000000-0005-0000-0000-0000D9100000}"/>
    <cellStyle name="AeE­_³≫ºI°eE¹´e AßA¤A÷AI " xfId="4330" xr:uid="{00000000-0005-0000-0000-0000DA100000}"/>
    <cellStyle name="ÅëÈ­_Á¤»ê¼­°©Áö" xfId="4331" xr:uid="{00000000-0005-0000-0000-0000DB100000}"/>
    <cellStyle name="AeE­_E¸AaAO½A " xfId="4332" xr:uid="{00000000-0005-0000-0000-0000DC100000}"/>
    <cellStyle name="ÅëÈ­_FINAL(¿øº») " xfId="4333" xr:uid="{00000000-0005-0000-0000-0000DD100000}"/>
    <cellStyle name="AeE­_INQUIRY ¿μ¾÷AßAø " xfId="4334" xr:uid="{00000000-0005-0000-0000-0000DE100000}"/>
    <cellStyle name="ÅëÈ­_kc-elec system check list" xfId="4335" xr:uid="{00000000-0005-0000-0000-0000DF100000}"/>
    <cellStyle name="AeE­_º≫¼± ±æ¾i±uºI ¼o·R Ay°eC￥ " xfId="4336" xr:uid="{00000000-0005-0000-0000-0000E0100000}"/>
    <cellStyle name="ÅëÈ­_RESULTS" xfId="4337" xr:uid="{00000000-0005-0000-0000-0000E1100000}"/>
    <cellStyle name="Aee¡" xfId="4338" xr:uid="{00000000-0005-0000-0000-0000E2100000}"/>
    <cellStyle name="AeE¡? [0]_INQUIRY ????¨?¡?A??A?ª " xfId="4339" xr:uid="{00000000-0005-0000-0000-0000E3100000}"/>
    <cellStyle name="AeE¡?_INQUIRY ????¨?¡?A??A?ª " xfId="4340" xr:uid="{00000000-0005-0000-0000-0000E4100000}"/>
    <cellStyle name="AeE¡© [0]_INQUIRY ¢¯¥ì¨ú¡ÀA©¬A©ª " xfId="4341" xr:uid="{00000000-0005-0000-0000-0000E5100000}"/>
    <cellStyle name="AeE¡©_INQUIRY ¢¯¥ì¨ú¡ÀA©¬A©ª " xfId="4342" xr:uid="{00000000-0005-0000-0000-0000E6100000}"/>
    <cellStyle name="AeE¡ⓒ [0]_¨uoAa¨oCAu " xfId="4343" xr:uid="{00000000-0005-0000-0000-0000E7100000}"/>
    <cellStyle name="AeE¡ⓒ_¨uoAa¨oCAu " xfId="4344" xr:uid="{00000000-0005-0000-0000-0000E8100000}"/>
    <cellStyle name="ÆU¼¾ÆR" xfId="4345" xr:uid="{00000000-0005-0000-0000-0000E9100000}"/>
    <cellStyle name="ALIGNMENT" xfId="4346" xr:uid="{00000000-0005-0000-0000-0000EA100000}"/>
    <cellStyle name="AoA¤μCAo ¾EA½" xfId="4347" xr:uid="{00000000-0005-0000-0000-0000EB100000}"/>
    <cellStyle name="args.style" xfId="4348" xr:uid="{00000000-0005-0000-0000-0000EC100000}"/>
    <cellStyle name="Aþ¸" xfId="4349" xr:uid="{00000000-0005-0000-0000-0000ED100000}"/>
    <cellStyle name="AÞ¸¶ [0]_ 2ÆAAþº° " xfId="4350" xr:uid="{00000000-0005-0000-0000-0000EE100000}"/>
    <cellStyle name="ÄÞ¸¶ [0]_´ëºñÇ¥" xfId="4351" xr:uid="{00000000-0005-0000-0000-0000EF100000}"/>
    <cellStyle name="AÞ¸¶ [0]_¸ðCu¸·" xfId="4352" xr:uid="{00000000-0005-0000-0000-0000F0100000}"/>
    <cellStyle name="ÄÞ¸¶ [0]_¸ðÇü¸·" xfId="4353" xr:uid="{00000000-0005-0000-0000-0000F1100000}"/>
    <cellStyle name="AÞ¸¶ [0]_¿­¸° INT" xfId="4354" xr:uid="{00000000-0005-0000-0000-0000F2100000}"/>
    <cellStyle name="ÄÞ¸¶ [0]_±âÅ¸" xfId="4355" xr:uid="{00000000-0005-0000-0000-0000F3100000}"/>
    <cellStyle name="AÞ¸¶ [0]_°ø≫cºn¿¹≫e¼­ " xfId="4356" xr:uid="{00000000-0005-0000-0000-0000F4100000}"/>
    <cellStyle name="ÄÞ¸¶ [0]_°ø¹®¾ç½Ä" xfId="4357" xr:uid="{00000000-0005-0000-0000-0000F5100000}"/>
    <cellStyle name="AÞ¸¶ [0]_°u¸RBS('98) " xfId="4358" xr:uid="{00000000-0005-0000-0000-0000F6100000}"/>
    <cellStyle name="ÄÞ¸¶ [0]_¼öÀÍ¼º " xfId="4359" xr:uid="{00000000-0005-0000-0000-0000F7100000}"/>
    <cellStyle name="AÞ¸¶ [0]_¼oAI¼º _광명전기" xfId="4360" xr:uid="{00000000-0005-0000-0000-0000F8100000}"/>
    <cellStyle name="ÄÞ¸¶ [0]_2000¼ÕÈ® " xfId="4361" xr:uid="{00000000-0005-0000-0000-0000F9100000}"/>
    <cellStyle name="AÞ¸¶ [0]_³≫ºI°eE¹´e AßA¤A÷AI " xfId="4362" xr:uid="{00000000-0005-0000-0000-0000FA100000}"/>
    <cellStyle name="ÄÞ¸¶ [0]_Á¤»ê¼­°©Áö" xfId="4363" xr:uid="{00000000-0005-0000-0000-0000FB100000}"/>
    <cellStyle name="AÞ¸¶ [0]_E¸AaAO½A " xfId="4364" xr:uid="{00000000-0005-0000-0000-0000FC100000}"/>
    <cellStyle name="ÄÞ¸¶ [0]_FINAL(¿øº») " xfId="4365" xr:uid="{00000000-0005-0000-0000-0000FD100000}"/>
    <cellStyle name="AÞ¸¶ [0]_INQUIRY ¿μ¾÷AßAø " xfId="4366" xr:uid="{00000000-0005-0000-0000-0000FE100000}"/>
    <cellStyle name="ÄÞ¸¶ [0]_laroux" xfId="4367" xr:uid="{00000000-0005-0000-0000-0000FF100000}"/>
    <cellStyle name="AÞ¸¶ [0]_º≫¼± ±æ¾i±uºI ¼o·R Ay°eC￥ " xfId="4368" xr:uid="{00000000-0005-0000-0000-000000110000}"/>
    <cellStyle name="ÄÞ¸¶ [0]_Sheet1" xfId="4369" xr:uid="{00000000-0005-0000-0000-000001110000}"/>
    <cellStyle name="AÞ¸¶_ 2ÆAAþº° " xfId="4370" xr:uid="{00000000-0005-0000-0000-000002110000}"/>
    <cellStyle name="ÄÞ¸¶_´ëºñÇ¥" xfId="4371" xr:uid="{00000000-0005-0000-0000-000003110000}"/>
    <cellStyle name="AÞ¸¶_¸ðCu¸·" xfId="4372" xr:uid="{00000000-0005-0000-0000-000004110000}"/>
    <cellStyle name="ÄÞ¸¶_¸ðÇü¸·" xfId="4373" xr:uid="{00000000-0005-0000-0000-000005110000}"/>
    <cellStyle name="AÞ¸¶_¿­¸° INT" xfId="4374" xr:uid="{00000000-0005-0000-0000-000006110000}"/>
    <cellStyle name="ÄÞ¸¶_±âÅ¸" xfId="4375" xr:uid="{00000000-0005-0000-0000-000007110000}"/>
    <cellStyle name="AÞ¸¶_°ø≫cºn¿¹≫e¼­ " xfId="4376" xr:uid="{00000000-0005-0000-0000-000008110000}"/>
    <cellStyle name="ÄÞ¸¶_°ø¹®¾ç½Ä" xfId="4377" xr:uid="{00000000-0005-0000-0000-000009110000}"/>
    <cellStyle name="AÞ¸¶_°u¸RC×¸n_¾÷A¾º° " xfId="4378" xr:uid="{00000000-0005-0000-0000-00000A110000}"/>
    <cellStyle name="ÄÞ¸¶_¼öÀÍ¼º " xfId="4379" xr:uid="{00000000-0005-0000-0000-00000B110000}"/>
    <cellStyle name="AÞ¸¶_¼oAI¼º _광명전기" xfId="4380" xr:uid="{00000000-0005-0000-0000-00000C110000}"/>
    <cellStyle name="ÄÞ¸¶_2000¼ÕÈ® " xfId="4381" xr:uid="{00000000-0005-0000-0000-00000D110000}"/>
    <cellStyle name="AÞ¸¶_³≫ºI°eE¹´e AßA¤A÷AI " xfId="4382" xr:uid="{00000000-0005-0000-0000-00000E110000}"/>
    <cellStyle name="ÄÞ¸¶_Á¤»ê¼­°©Áö" xfId="4383" xr:uid="{00000000-0005-0000-0000-00000F110000}"/>
    <cellStyle name="AÞ¸¶_E¸AaAO½A " xfId="4384" xr:uid="{00000000-0005-0000-0000-000010110000}"/>
    <cellStyle name="ÄÞ¸¶_FINAL(¿øº») " xfId="4385" xr:uid="{00000000-0005-0000-0000-000011110000}"/>
    <cellStyle name="AÞ¸¶_INQUIRY ¿μ¾÷AßAø " xfId="4386" xr:uid="{00000000-0005-0000-0000-000012110000}"/>
    <cellStyle name="ÄÞ¸¶_laroux" xfId="4387" xr:uid="{00000000-0005-0000-0000-000013110000}"/>
    <cellStyle name="AÞ¸¶_º≫¼± ±æ¾i±uºI ¼o·R Ay°eC￥ " xfId="4388" xr:uid="{00000000-0005-0000-0000-000014110000}"/>
    <cellStyle name="ÄÞ¸¶_Sheet1" xfId="4389" xr:uid="{00000000-0005-0000-0000-000015110000}"/>
    <cellStyle name="AU¸R¼o" xfId="4390" xr:uid="{00000000-0005-0000-0000-000016110000}"/>
    <cellStyle name="AU¸R¼o0" xfId="4391" xr:uid="{00000000-0005-0000-0000-000017110000}"/>
    <cellStyle name="_x0001_b" xfId="4392" xr:uid="{00000000-0005-0000-0000-000018110000}"/>
    <cellStyle name="_x0001_b 2" xfId="4393" xr:uid="{00000000-0005-0000-0000-000019110000}"/>
    <cellStyle name="blank" xfId="4394" xr:uid="{00000000-0005-0000-0000-00001A110000}"/>
    <cellStyle name="blank - Style1" xfId="4395" xr:uid="{00000000-0005-0000-0000-00001B110000}"/>
    <cellStyle name="blank_실행내역서-건대스타시티-080401" xfId="4396" xr:uid="{00000000-0005-0000-0000-00001C110000}"/>
    <cellStyle name="C" xfId="4397" xr:uid="{00000000-0005-0000-0000-00001D110000}"/>
    <cellStyle name="C_04028적산수량집계" xfId="4398" xr:uid="{00000000-0005-0000-0000-00001E110000}"/>
    <cellStyle name="C_BOOKCITY(전기)" xfId="4399" xr:uid="{00000000-0005-0000-0000-00001F110000}"/>
    <cellStyle name="C_BOOKCITY(전기)_04028적산수량집계" xfId="4400" xr:uid="{00000000-0005-0000-0000-000020110000}"/>
    <cellStyle name="C_공설운동진입(가실행)" xfId="4401" xr:uid="{00000000-0005-0000-0000-000021110000}"/>
    <cellStyle name="C_공설운동진입(가실행)_04028적산수량집계" xfId="4402" xr:uid="{00000000-0005-0000-0000-000022110000}"/>
    <cellStyle name="C_공설운동진입(가실행)_BOOKCITY(전기)" xfId="4403" xr:uid="{00000000-0005-0000-0000-000023110000}"/>
    <cellStyle name="C_공설운동진입(가실행)_BOOKCITY(전기)_04028적산수량집계" xfId="4404" xr:uid="{00000000-0005-0000-0000-000024110000}"/>
    <cellStyle name="C_공설운동진입(가실행)_사본 - 파주 북시티(이채)" xfId="4405" xr:uid="{00000000-0005-0000-0000-000025110000}"/>
    <cellStyle name="C_공설운동진입(가실행)_사본 - 파주 북시티(이채)_04028적산수량집계" xfId="4406" xr:uid="{00000000-0005-0000-0000-000026110000}"/>
    <cellStyle name="C_공설운동진입(가실행)_파주 BOOK CITY(통보용)" xfId="4407" xr:uid="{00000000-0005-0000-0000-000027110000}"/>
    <cellStyle name="C_공설운동진입(가실행)_파주 BOOK CITY(통보용)_04028적산수량집계" xfId="4408" xr:uid="{00000000-0005-0000-0000-000028110000}"/>
    <cellStyle name="C_공설운동진입(가실행)_파주 BOOK CITY가실행내역" xfId="4409" xr:uid="{00000000-0005-0000-0000-000029110000}"/>
    <cellStyle name="C_공설운동진입(가실행)_파주 BOOK CITY가실행내역_04028적산수량집계" xfId="4410" xr:uid="{00000000-0005-0000-0000-00002A110000}"/>
    <cellStyle name="C_공설운동진입(가실행)_파주 북시티(이채)제출" xfId="4411" xr:uid="{00000000-0005-0000-0000-00002B110000}"/>
    <cellStyle name="C_공설운동진입(가실행)_파주 북시티(이채)제출_04028적산수량집계" xfId="4412" xr:uid="{00000000-0005-0000-0000-00002C110000}"/>
    <cellStyle name="C_공설운동진입(가실행)_파주 북시티(전체)제출(변경전)" xfId="4413" xr:uid="{00000000-0005-0000-0000-00002D110000}"/>
    <cellStyle name="C_공설운동진입(가실행)_파주 북시티(전체)제출(변경전)_04028적산수량집계" xfId="4414" xr:uid="{00000000-0005-0000-0000-00002E110000}"/>
    <cellStyle name="C_사본 - 파주 북시티(이채)" xfId="4415" xr:uid="{00000000-0005-0000-0000-00002F110000}"/>
    <cellStyle name="C_사본 - 파주 북시티(이채)_04028적산수량집계" xfId="4416" xr:uid="{00000000-0005-0000-0000-000030110000}"/>
    <cellStyle name="C_토목내역서" xfId="4417" xr:uid="{00000000-0005-0000-0000-000031110000}"/>
    <cellStyle name="C_토목내역서_04028적산수량집계" xfId="4418" xr:uid="{00000000-0005-0000-0000-000032110000}"/>
    <cellStyle name="C_토목내역서_BOOKCITY(전기)" xfId="4419" xr:uid="{00000000-0005-0000-0000-000033110000}"/>
    <cellStyle name="C_토목내역서_BOOKCITY(전기)_04028적산수량집계" xfId="4420" xr:uid="{00000000-0005-0000-0000-000034110000}"/>
    <cellStyle name="C_토목내역서_공설운동진입(가실행)" xfId="4421" xr:uid="{00000000-0005-0000-0000-000035110000}"/>
    <cellStyle name="C_토목내역서_공설운동진입(가실행)_04028적산수량집계" xfId="4422" xr:uid="{00000000-0005-0000-0000-000036110000}"/>
    <cellStyle name="C_토목내역서_공설운동진입(가실행)_BOOKCITY(전기)" xfId="4423" xr:uid="{00000000-0005-0000-0000-000037110000}"/>
    <cellStyle name="C_토목내역서_공설운동진입(가실행)_BOOKCITY(전기)_04028적산수량집계" xfId="4424" xr:uid="{00000000-0005-0000-0000-000038110000}"/>
    <cellStyle name="C_토목내역서_공설운동진입(가실행)_사본 - 파주 북시티(이채)" xfId="4425" xr:uid="{00000000-0005-0000-0000-000039110000}"/>
    <cellStyle name="C_토목내역서_공설운동진입(가실행)_사본 - 파주 북시티(이채)_04028적산수량집계" xfId="4426" xr:uid="{00000000-0005-0000-0000-00003A110000}"/>
    <cellStyle name="C_토목내역서_공설운동진입(가실행)_파주 BOOK CITY(통보용)" xfId="4427" xr:uid="{00000000-0005-0000-0000-00003B110000}"/>
    <cellStyle name="C_토목내역서_공설운동진입(가실행)_파주 BOOK CITY(통보용)_04028적산수량집계" xfId="4428" xr:uid="{00000000-0005-0000-0000-00003C110000}"/>
    <cellStyle name="C_토목내역서_공설운동진입(가실행)_파주 BOOK CITY가실행내역" xfId="4429" xr:uid="{00000000-0005-0000-0000-00003D110000}"/>
    <cellStyle name="C_토목내역서_공설운동진입(가실행)_파주 BOOK CITY가실행내역_04028적산수량집계" xfId="4430" xr:uid="{00000000-0005-0000-0000-00003E110000}"/>
    <cellStyle name="C_토목내역서_공설운동진입(가실행)_파주 북시티(이채)제출" xfId="4431" xr:uid="{00000000-0005-0000-0000-00003F110000}"/>
    <cellStyle name="C_토목내역서_공설운동진입(가실행)_파주 북시티(이채)제출_04028적산수량집계" xfId="4432" xr:uid="{00000000-0005-0000-0000-000040110000}"/>
    <cellStyle name="C_토목내역서_공설운동진입(가실행)_파주 북시티(전체)제출(변경전)" xfId="4433" xr:uid="{00000000-0005-0000-0000-000041110000}"/>
    <cellStyle name="C_토목내역서_공설운동진입(가실행)_파주 북시티(전체)제출(변경전)_04028적산수량집계" xfId="4434" xr:uid="{00000000-0005-0000-0000-000042110000}"/>
    <cellStyle name="C_토목내역서_사본 - 파주 북시티(이채)" xfId="4435" xr:uid="{00000000-0005-0000-0000-000043110000}"/>
    <cellStyle name="C_토목내역서_사본 - 파주 북시티(이채)_04028적산수량집계" xfId="4436" xr:uid="{00000000-0005-0000-0000-000044110000}"/>
    <cellStyle name="C_토목내역서_파주 BOOK CITY(통보용)" xfId="4437" xr:uid="{00000000-0005-0000-0000-000045110000}"/>
    <cellStyle name="C_토목내역서_파주 BOOK CITY(통보용)_04028적산수량집계" xfId="4438" xr:uid="{00000000-0005-0000-0000-000046110000}"/>
    <cellStyle name="C_토목내역서_파주 BOOK CITY가실행내역" xfId="4439" xr:uid="{00000000-0005-0000-0000-000047110000}"/>
    <cellStyle name="C_토목내역서_파주 BOOK CITY가실행내역_04028적산수량집계" xfId="4440" xr:uid="{00000000-0005-0000-0000-000048110000}"/>
    <cellStyle name="C_토목내역서_파주 북시티(이채)제출" xfId="4441" xr:uid="{00000000-0005-0000-0000-000049110000}"/>
    <cellStyle name="C_토목내역서_파주 북시티(이채)제출_04028적산수량집계" xfId="4442" xr:uid="{00000000-0005-0000-0000-00004A110000}"/>
    <cellStyle name="C_토목내역서_파주 북시티(전체)제출(변경전)" xfId="4443" xr:uid="{00000000-0005-0000-0000-00004B110000}"/>
    <cellStyle name="C_토목내역서_파주 북시티(전체)제출(변경전)_04028적산수량집계" xfId="4444" xr:uid="{00000000-0005-0000-0000-00004C110000}"/>
    <cellStyle name="C_파주 BOOK CITY(통보용)" xfId="4445" xr:uid="{00000000-0005-0000-0000-00004D110000}"/>
    <cellStyle name="C_파주 BOOK CITY(통보용)_04028적산수량집계" xfId="4446" xr:uid="{00000000-0005-0000-0000-00004E110000}"/>
    <cellStyle name="C_파주 BOOK CITY가실행내역" xfId="4447" xr:uid="{00000000-0005-0000-0000-00004F110000}"/>
    <cellStyle name="C_파주 BOOK CITY가실행내역_04028적산수량집계" xfId="4448" xr:uid="{00000000-0005-0000-0000-000050110000}"/>
    <cellStyle name="C_파주 북시티(이채)제출" xfId="4449" xr:uid="{00000000-0005-0000-0000-000051110000}"/>
    <cellStyle name="C_파주 북시티(이채)제출_04028적산수량집계" xfId="4450" xr:uid="{00000000-0005-0000-0000-000052110000}"/>
    <cellStyle name="C_파주 북시티(전체)제출(변경전)" xfId="4451" xr:uid="{00000000-0005-0000-0000-000053110000}"/>
    <cellStyle name="C_파주 북시티(전체)제출(변경전)_04028적산수량집계" xfId="4452" xr:uid="{00000000-0005-0000-0000-000054110000}"/>
    <cellStyle name="C¡?A¨ª_¡?c¨?¡?¨?I¨?¡Æ AN¡Æe " xfId="4453" xr:uid="{00000000-0005-0000-0000-000055110000}"/>
    <cellStyle name="C¡IA¨ª_¡ic¨u¡A¨￢I¨￢¡Æ AN¡Æe " xfId="4454" xr:uid="{00000000-0005-0000-0000-000056110000}"/>
    <cellStyle name="C¡ÍA¨ª_¡íc¨ú¡À¨¬I¨¬¡Æ AN¡Æe " xfId="4455" xr:uid="{00000000-0005-0000-0000-000057110000}"/>
    <cellStyle name="C￥AØ_  FAB AIA¤  " xfId="4456" xr:uid="{00000000-0005-0000-0000-000058110000}"/>
    <cellStyle name="Ç¥ÁØ_(Á¤º¸ºÎ¹®)¿ùº°ÀÎ¿ø°èÈ¹" xfId="4457" xr:uid="{00000000-0005-0000-0000-000059110000}"/>
    <cellStyle name="C￥AØ_(type)AN°y" xfId="4458" xr:uid="{00000000-0005-0000-0000-00005A110000}"/>
    <cellStyle name="Ç¥ÁØ_´ëºñÇ¥" xfId="4459" xr:uid="{00000000-0005-0000-0000-00005B110000}"/>
    <cellStyle name="C￥AØ_´eºnC￥ (2)_1_ºI´eAa°ø " xfId="4460" xr:uid="{00000000-0005-0000-0000-00005C110000}"/>
    <cellStyle name="Ç¥ÁØ_´ëºñÇ¥ (2)_1_ºÎ´ëÅä°ø " xfId="4461" xr:uid="{00000000-0005-0000-0000-00005D110000}"/>
    <cellStyle name="C￥AØ_´eºnC￥ (2)_ºI´eAa°ø " xfId="4462" xr:uid="{00000000-0005-0000-0000-00005E110000}"/>
    <cellStyle name="Ç¥ÁØ_´ëºñÇ¥ (2)_ºÎ´ëÅä°ø " xfId="4463" xr:uid="{00000000-0005-0000-0000-00005F110000}"/>
    <cellStyle name="C￥AØ_¿­¸° INT" xfId="4464" xr:uid="{00000000-0005-0000-0000-000060110000}"/>
    <cellStyle name="Ç¥ÁØ_±¸¸Å³³±â" xfId="4465" xr:uid="{00000000-0005-0000-0000-000061110000}"/>
    <cellStyle name="C￥AØ_≫c¾÷ºIº° AN°e " xfId="4466" xr:uid="{00000000-0005-0000-0000-000062110000}"/>
    <cellStyle name="Ç¥ÁØ_°¡¼³" xfId="4467" xr:uid="{00000000-0005-0000-0000-000063110000}"/>
    <cellStyle name="C￥AØ_°ø≫cºn¿¹≫e¼­ " xfId="4468" xr:uid="{00000000-0005-0000-0000-000064110000}"/>
    <cellStyle name="Ç¥ÁØ_°ø¹®" xfId="4469" xr:uid="{00000000-0005-0000-0000-000065110000}"/>
    <cellStyle name="C￥AØ_0N-HANDLING " xfId="4470" xr:uid="{00000000-0005-0000-0000-000066110000}"/>
    <cellStyle name="Ç¥ÁØ_0N-HANDLING " xfId="4471" xr:uid="{00000000-0005-0000-0000-000067110000}"/>
    <cellStyle name="C￥AØ_¼±AoAc°i_1_³≫ºI°eE¹´e AßA¤A÷AI " xfId="4472" xr:uid="{00000000-0005-0000-0000-000068110000}"/>
    <cellStyle name="Ç¥ÁØ_¼±ÅõÀç°í_³»ºÎ°èÈ¹´ë ÃßÁ¤Â÷ÀÌ " xfId="4473" xr:uid="{00000000-0005-0000-0000-000069110000}"/>
    <cellStyle name="C￥AØ_¼±AoAc°i_³≫ºI°eE¹´e AßA¤A÷AI " xfId="4474" xr:uid="{00000000-0005-0000-0000-00006A110000}"/>
    <cellStyle name="Ç¥ÁØ_¼ÕÀÍÂ÷ (2)_1_³»ºÎ°èÈ¹´ë ÃßÁ¤Â÷ÀÌ " xfId="4475" xr:uid="{00000000-0005-0000-0000-00006B110000}"/>
    <cellStyle name="C￥AØ_¼OAIA÷ (2)_1_³≫ºI°eE¹´e AßA¤A÷AI " xfId="4476" xr:uid="{00000000-0005-0000-0000-00006C110000}"/>
    <cellStyle name="Ç¥ÁØ_¼ÕÀÍÂ÷ (2)_³»ºÎ°èÈ¹´ë ÃßÁ¤Â÷ÀÌ " xfId="4477" xr:uid="{00000000-0005-0000-0000-00006D110000}"/>
    <cellStyle name="C￥AØ_¼OAIA÷ (2)_³≫ºI°eE¹´e AßA¤A÷AI " xfId="4478" xr:uid="{00000000-0005-0000-0000-00006E110000}"/>
    <cellStyle name="Ç¥ÁØ_½ÇÇà¿¹»ê¼­ " xfId="4479" xr:uid="{00000000-0005-0000-0000-00006F110000}"/>
    <cellStyle name="C￥AØ_³≫ºI°eE¹´e AßA¤A÷AI " xfId="4480" xr:uid="{00000000-0005-0000-0000-000070110000}"/>
    <cellStyle name="Ç¥ÁØ_5-1±¤°í " xfId="4481" xr:uid="{00000000-0005-0000-0000-000071110000}"/>
    <cellStyle name="C￥AØ_5-1±¤°i _01.실행내역서-논현동(02.07.31)" xfId="4482" xr:uid="{00000000-0005-0000-0000-000072110000}"/>
    <cellStyle name="Ç¥ÁØ_Å¸»çºÐ_³»ºÎ°èÈ¹´ë ÃßÁ¤Â÷ÀÌ " xfId="4483" xr:uid="{00000000-0005-0000-0000-000073110000}"/>
    <cellStyle name="C￥AØ_A¸≫cºÐ_³≫ºI°eE¹´e AßA¤A÷AI " xfId="4484" xr:uid="{00000000-0005-0000-0000-000074110000}"/>
    <cellStyle name="Ç¥ÁØ_Áý°èÇ¥(2¿ù) " xfId="4485" xr:uid="{00000000-0005-0000-0000-000075110000}"/>
    <cellStyle name="C￥AØ_CoAo¹yAI °A¾×¿ⓒ½A " xfId="4486" xr:uid="{00000000-0005-0000-0000-000076110000}"/>
    <cellStyle name="Ç¥ÁØ_ÇöÈ²_¹®Á¦Á¡ " xfId="4487" xr:uid="{00000000-0005-0000-0000-000077110000}"/>
    <cellStyle name="C￥AØ_E¸AaAO½A " xfId="4488" xr:uid="{00000000-0005-0000-0000-000078110000}"/>
    <cellStyle name="Ç¥ÁØ_ÈÞÀÏ±Ù·Î" xfId="4489" xr:uid="{00000000-0005-0000-0000-000079110000}"/>
    <cellStyle name="C￥AØ_FIRE " xfId="4490" xr:uid="{00000000-0005-0000-0000-00007A110000}"/>
    <cellStyle name="Ç¥ÁØ_HATCO HQ" xfId="4491" xr:uid="{00000000-0005-0000-0000-00007B110000}"/>
    <cellStyle name="C￥AØ_LIGHTNING " xfId="4492" xr:uid="{00000000-0005-0000-0000-00007C110000}"/>
    <cellStyle name="Ç¥ÁØ_º¯°æ(ÃÖÁ¾)" xfId="4493" xr:uid="{00000000-0005-0000-0000-00007D110000}"/>
    <cellStyle name="C￥AØ_PERSONAL" xfId="4494" xr:uid="{00000000-0005-0000-0000-00007E110000}"/>
    <cellStyle name="Ç¥ÁØ_RESULTS" xfId="4495" xr:uid="{00000000-0005-0000-0000-00007F110000}"/>
    <cellStyle name="C￥AØ_Sheet1_¿μ¾÷CoE² " xfId="4496" xr:uid="{00000000-0005-0000-0000-000080110000}"/>
    <cellStyle name="Ç¥ÁØ_Sheet1_0N-HANDLING " xfId="4497" xr:uid="{00000000-0005-0000-0000-000081110000}"/>
    <cellStyle name="C￥AØ_Sheet1_Ay°eC￥(2¿u) " xfId="4498" xr:uid="{00000000-0005-0000-0000-000082110000}"/>
    <cellStyle name="Ç¥ÁØ_Sheet1_Áý°èÇ¥(2¿ù) " xfId="4499" xr:uid="{00000000-0005-0000-0000-000083110000}"/>
    <cellStyle name="C￥AØ_SOON1 " xfId="4500" xr:uid="{00000000-0005-0000-0000-000084110000}"/>
    <cellStyle name="Calc Currency (0)" xfId="4501" xr:uid="{00000000-0005-0000-0000-000085110000}"/>
    <cellStyle name="Calc Currency (0) 2" xfId="4502" xr:uid="{00000000-0005-0000-0000-000086110000}"/>
    <cellStyle name="Calc Currency (2)" xfId="4503" xr:uid="{00000000-0005-0000-0000-000087110000}"/>
    <cellStyle name="Calc Percent (0)" xfId="4504" xr:uid="{00000000-0005-0000-0000-000088110000}"/>
    <cellStyle name="Calc Percent (1)" xfId="4505" xr:uid="{00000000-0005-0000-0000-000089110000}"/>
    <cellStyle name="Calc Percent (2)" xfId="4506" xr:uid="{00000000-0005-0000-0000-00008A110000}"/>
    <cellStyle name="Calc Units (0)" xfId="4507" xr:uid="{00000000-0005-0000-0000-00008B110000}"/>
    <cellStyle name="Calc Units (1)" xfId="4508" xr:uid="{00000000-0005-0000-0000-00008C110000}"/>
    <cellStyle name="Calc Units (2)" xfId="4509" xr:uid="{00000000-0005-0000-0000-00008D110000}"/>
    <cellStyle name="category" xfId="4510" xr:uid="{00000000-0005-0000-0000-00008E110000}"/>
    <cellStyle name="ÇÏÀÌÆÛ¸µÅ©" xfId="4511" xr:uid="{00000000-0005-0000-0000-00008F110000}"/>
    <cellStyle name="CIAIÆU¸μAⓒ" xfId="4512" xr:uid="{00000000-0005-0000-0000-000090110000}"/>
    <cellStyle name="ⓒo" xfId="4513" xr:uid="{00000000-0005-0000-0000-000091110000}"/>
    <cellStyle name="CO≫e" xfId="4514" xr:uid="{00000000-0005-0000-0000-000092110000}"/>
    <cellStyle name="Column Heading" xfId="4515" xr:uid="{00000000-0005-0000-0000-000093110000}"/>
    <cellStyle name="Comma" xfId="4516" xr:uid="{00000000-0005-0000-0000-000094110000}"/>
    <cellStyle name="Comma  - Style2" xfId="4517" xr:uid="{00000000-0005-0000-0000-000095110000}"/>
    <cellStyle name="Comma  - Style3" xfId="4518" xr:uid="{00000000-0005-0000-0000-000096110000}"/>
    <cellStyle name="Comma  - Style4" xfId="4519" xr:uid="{00000000-0005-0000-0000-000097110000}"/>
    <cellStyle name="Comma  - Style5" xfId="4520" xr:uid="{00000000-0005-0000-0000-000098110000}"/>
    <cellStyle name="Comma  - Style6" xfId="4521" xr:uid="{00000000-0005-0000-0000-000099110000}"/>
    <cellStyle name="Comma  - Style7" xfId="4522" xr:uid="{00000000-0005-0000-0000-00009A110000}"/>
    <cellStyle name="Comma  - Style8" xfId="4523" xr:uid="{00000000-0005-0000-0000-00009B110000}"/>
    <cellStyle name="Comma [0]" xfId="4524" xr:uid="{00000000-0005-0000-0000-00009C110000}"/>
    <cellStyle name="Comma [0] 2" xfId="4525" xr:uid="{00000000-0005-0000-0000-00009D110000}"/>
    <cellStyle name="Comma [0] 3" xfId="4526" xr:uid="{00000000-0005-0000-0000-00009E110000}"/>
    <cellStyle name="Comma [00]" xfId="4527" xr:uid="{00000000-0005-0000-0000-00009F110000}"/>
    <cellStyle name="Comma 2" xfId="4528" xr:uid="{00000000-0005-0000-0000-0000A0110000}"/>
    <cellStyle name="Comma 3" xfId="4529" xr:uid="{00000000-0005-0000-0000-0000A1110000}"/>
    <cellStyle name="comma zerodec" xfId="4530" xr:uid="{00000000-0005-0000-0000-0000A2110000}"/>
    <cellStyle name="comma zerodec 2" xfId="4531" xr:uid="{00000000-0005-0000-0000-0000A3110000}"/>
    <cellStyle name="Comma_ SG&amp;A Bridge " xfId="4532" xr:uid="{00000000-0005-0000-0000-0000A4110000}"/>
    <cellStyle name="Comma0" xfId="4533" xr:uid="{00000000-0005-0000-0000-0000A5110000}"/>
    <cellStyle name="Comma0 2" xfId="4534" xr:uid="{00000000-0005-0000-0000-0000A6110000}"/>
    <cellStyle name="Copied" xfId="4535" xr:uid="{00000000-0005-0000-0000-0000A7110000}"/>
    <cellStyle name="COST1" xfId="4536" xr:uid="{00000000-0005-0000-0000-0000A8110000}"/>
    <cellStyle name="Curre~cy [0]_MATERAL2" xfId="4537" xr:uid="{00000000-0005-0000-0000-0000A9110000}"/>
    <cellStyle name="Curren?_x0012_퐀_x0017_?" xfId="4538" xr:uid="{00000000-0005-0000-0000-0000AA110000}"/>
    <cellStyle name="Currency" xfId="4539" xr:uid="{00000000-0005-0000-0000-0000AB110000}"/>
    <cellStyle name="Currency [0]" xfId="4540" xr:uid="{00000000-0005-0000-0000-0000AC110000}"/>
    <cellStyle name="Currency [0] 2" xfId="4541" xr:uid="{00000000-0005-0000-0000-0000AD110000}"/>
    <cellStyle name="Currency [0]͢laroux_1" xfId="4542" xr:uid="{00000000-0005-0000-0000-0000AE110000}"/>
    <cellStyle name="Currency [00]" xfId="4543" xr:uid="{00000000-0005-0000-0000-0000AF110000}"/>
    <cellStyle name="Currency 2" xfId="4544" xr:uid="{00000000-0005-0000-0000-0000B0110000}"/>
    <cellStyle name="Currency 3" xfId="4545" xr:uid="{00000000-0005-0000-0000-0000B1110000}"/>
    <cellStyle name="Currency 4" xfId="4546" xr:uid="{00000000-0005-0000-0000-0000B2110000}"/>
    <cellStyle name="Currency 5" xfId="4547" xr:uid="{00000000-0005-0000-0000-0000B3110000}"/>
    <cellStyle name="Currency 6" xfId="4548" xr:uid="{00000000-0005-0000-0000-0000B4110000}"/>
    <cellStyle name="Currency 7" xfId="4549" xr:uid="{00000000-0005-0000-0000-0000B5110000}"/>
    <cellStyle name="Currency 8" xfId="4550" xr:uid="{00000000-0005-0000-0000-0000B6110000}"/>
    <cellStyle name="currency-$" xfId="4551" xr:uid="{00000000-0005-0000-0000-0000B7110000}"/>
    <cellStyle name="Currency_ SG&amp;A Bridge " xfId="4552" xr:uid="{00000000-0005-0000-0000-0000B8110000}"/>
    <cellStyle name="Currency0" xfId="4553" xr:uid="{00000000-0005-0000-0000-0000B9110000}"/>
    <cellStyle name="Currency0 2" xfId="4554" xr:uid="{00000000-0005-0000-0000-0000BA110000}"/>
    <cellStyle name="Currency1" xfId="4555" xr:uid="{00000000-0005-0000-0000-0000BB110000}"/>
    <cellStyle name="Currency1 2" xfId="4556" xr:uid="{00000000-0005-0000-0000-0000BC110000}"/>
    <cellStyle name="Currency1 3" xfId="4557" xr:uid="{00000000-0005-0000-0000-0000BD110000}"/>
    <cellStyle name="Date" xfId="4558" xr:uid="{00000000-0005-0000-0000-0000BE110000}"/>
    <cellStyle name="Date 2" xfId="4559" xr:uid="{00000000-0005-0000-0000-0000BF110000}"/>
    <cellStyle name="Date 3" xfId="4560" xr:uid="{00000000-0005-0000-0000-0000C0110000}"/>
    <cellStyle name="Date Short" xfId="4561" xr:uid="{00000000-0005-0000-0000-0000C1110000}"/>
    <cellStyle name="Date_0313-삼성생명견적서 FC BRANCH(e)" xfId="4562" xr:uid="{00000000-0005-0000-0000-0000C2110000}"/>
    <cellStyle name="DELTA" xfId="4563" xr:uid="{00000000-0005-0000-0000-0000C3110000}"/>
    <cellStyle name="Dezimal [0]_Compiling Utility Macros" xfId="4564" xr:uid="{00000000-0005-0000-0000-0000C4110000}"/>
    <cellStyle name="Dezimal_Compiling Utility Macros" xfId="4565" xr:uid="{00000000-0005-0000-0000-0000C5110000}"/>
    <cellStyle name="Dollar (zero dec)" xfId="4566" xr:uid="{00000000-0005-0000-0000-0000C6110000}"/>
    <cellStyle name="Dollar (zero dec) 2" xfId="4567" xr:uid="{00000000-0005-0000-0000-0000C7110000}"/>
    <cellStyle name="E­Æo±aE￡" xfId="4568" xr:uid="{00000000-0005-0000-0000-0000C8110000}"/>
    <cellStyle name="E­Æo±aE￡0" xfId="4569" xr:uid="{00000000-0005-0000-0000-0000C9110000}"/>
    <cellStyle name="En-t?e 1" xfId="4570" xr:uid="{00000000-0005-0000-0000-0000CA110000}"/>
    <cellStyle name="En-t?e 2" xfId="4571" xr:uid="{00000000-0005-0000-0000-0000CB110000}"/>
    <cellStyle name="Enter Currency (0)" xfId="4572" xr:uid="{00000000-0005-0000-0000-0000CC110000}"/>
    <cellStyle name="Enter Currency (2)" xfId="4573" xr:uid="{00000000-0005-0000-0000-0000CD110000}"/>
    <cellStyle name="Enter Units (0)" xfId="4574" xr:uid="{00000000-0005-0000-0000-0000CE110000}"/>
    <cellStyle name="Enter Units (1)" xfId="4575" xr:uid="{00000000-0005-0000-0000-0000CF110000}"/>
    <cellStyle name="Enter Units (2)" xfId="4576" xr:uid="{00000000-0005-0000-0000-0000D0110000}"/>
    <cellStyle name="Entered" xfId="4577" xr:uid="{00000000-0005-0000-0000-0000D1110000}"/>
    <cellStyle name="Euro" xfId="4578" xr:uid="{00000000-0005-0000-0000-0000D2110000}"/>
    <cellStyle name="Euro 2" xfId="4579" xr:uid="{00000000-0005-0000-0000-0000D3110000}"/>
    <cellStyle name="F2" xfId="4580" xr:uid="{00000000-0005-0000-0000-0000D4110000}"/>
    <cellStyle name="F3" xfId="4581" xr:uid="{00000000-0005-0000-0000-0000D5110000}"/>
    <cellStyle name="F4" xfId="4582" xr:uid="{00000000-0005-0000-0000-0000D6110000}"/>
    <cellStyle name="F5" xfId="4583" xr:uid="{00000000-0005-0000-0000-0000D7110000}"/>
    <cellStyle name="F6" xfId="4584" xr:uid="{00000000-0005-0000-0000-0000D8110000}"/>
    <cellStyle name="F7" xfId="4585" xr:uid="{00000000-0005-0000-0000-0000D9110000}"/>
    <cellStyle name="F8" xfId="4586" xr:uid="{00000000-0005-0000-0000-0000DA110000}"/>
    <cellStyle name="Financier0" xfId="4587" xr:uid="{00000000-0005-0000-0000-0000DB110000}"/>
    <cellStyle name="Fixed" xfId="4588" xr:uid="{00000000-0005-0000-0000-0000DC110000}"/>
    <cellStyle name="Fixed 2" xfId="4589" xr:uid="{00000000-0005-0000-0000-0000DD110000}"/>
    <cellStyle name="Fixed 3" xfId="4590" xr:uid="{00000000-0005-0000-0000-0000DE110000}"/>
    <cellStyle name="Followed Hyperlink" xfId="4591" xr:uid="{00000000-0005-0000-0000-0000DF110000}"/>
    <cellStyle name="Followed Hyperlink 2" xfId="4592" xr:uid="{00000000-0005-0000-0000-0000E0110000}"/>
    <cellStyle name="G10" xfId="4593" xr:uid="{00000000-0005-0000-0000-0000E1110000}"/>
    <cellStyle name="ǦǦ_x0003_" xfId="4594" xr:uid="{00000000-0005-0000-0000-0000E2110000}"/>
    <cellStyle name="Grey" xfId="4595" xr:uid="{00000000-0005-0000-0000-0000E3110000}"/>
    <cellStyle name="Grey 2" xfId="4596" xr:uid="{00000000-0005-0000-0000-0000E4110000}"/>
    <cellStyle name="Grey 3" xfId="4597" xr:uid="{00000000-0005-0000-0000-0000E5110000}"/>
    <cellStyle name="H1" xfId="4598" xr:uid="{00000000-0005-0000-0000-0000E6110000}"/>
    <cellStyle name="H2" xfId="4599" xr:uid="{00000000-0005-0000-0000-0000E7110000}"/>
    <cellStyle name="HEADER" xfId="4600" xr:uid="{00000000-0005-0000-0000-0000E8110000}"/>
    <cellStyle name="Header1" xfId="4601" xr:uid="{00000000-0005-0000-0000-0000E9110000}"/>
    <cellStyle name="Header2" xfId="4602" xr:uid="{00000000-0005-0000-0000-0000EA110000}"/>
    <cellStyle name="Heading" xfId="4603" xr:uid="{00000000-0005-0000-0000-0000EB110000}"/>
    <cellStyle name="Heading 1" xfId="4604" xr:uid="{00000000-0005-0000-0000-0000EC110000}"/>
    <cellStyle name="Heading 1 2" xfId="4605" xr:uid="{00000000-0005-0000-0000-0000ED110000}"/>
    <cellStyle name="Heading 2" xfId="4606" xr:uid="{00000000-0005-0000-0000-0000EE110000}"/>
    <cellStyle name="Heading 2 2" xfId="4607" xr:uid="{00000000-0005-0000-0000-0000EF110000}"/>
    <cellStyle name="Heading1" xfId="4608" xr:uid="{00000000-0005-0000-0000-0000F0110000}"/>
    <cellStyle name="Heading1 2" xfId="4609" xr:uid="{00000000-0005-0000-0000-0000F1110000}"/>
    <cellStyle name="Heading1 3" xfId="4610" xr:uid="{00000000-0005-0000-0000-0000F2110000}"/>
    <cellStyle name="Heading2" xfId="4611" xr:uid="{00000000-0005-0000-0000-0000F3110000}"/>
    <cellStyle name="Heading2 2" xfId="4612" xr:uid="{00000000-0005-0000-0000-0000F4110000}"/>
    <cellStyle name="Heading2 3" xfId="4613" xr:uid="{00000000-0005-0000-0000-0000F5110000}"/>
    <cellStyle name="HEADINGS" xfId="4614" xr:uid="{00000000-0005-0000-0000-0000F6110000}"/>
    <cellStyle name="HEADINGSTOP" xfId="4615" xr:uid="{00000000-0005-0000-0000-0000F7110000}"/>
    <cellStyle name="Helv8_PFD4.XLS" xfId="4616" xr:uid="{00000000-0005-0000-0000-0000F8110000}"/>
    <cellStyle name="Hyperlink" xfId="4617" xr:uid="{00000000-0005-0000-0000-0000F9110000}"/>
    <cellStyle name="Hyperlink 2" xfId="4618" xr:uid="{00000000-0005-0000-0000-0000FA110000}"/>
    <cellStyle name="Input [yellow]" xfId="4619" xr:uid="{00000000-0005-0000-0000-0000FB110000}"/>
    <cellStyle name="Input [yellow] 2" xfId="4620" xr:uid="{00000000-0005-0000-0000-0000FC110000}"/>
    <cellStyle name="Input [yellow] 3" xfId="4621" xr:uid="{00000000-0005-0000-0000-0000FD110000}"/>
    <cellStyle name="Input Cells" xfId="4622" xr:uid="{00000000-0005-0000-0000-0000FE110000}"/>
    <cellStyle name="_x0001__x0002_ĵĵ_x0007_ ĵĵ_x000d__x000d_ƨƬ_x0001__x0002_ƨƬ_x0007__x000d_ǒǓ _x000d_ǜǜ_x000d__x000d_ǪǪ_x0007__x0007__x0005__x0005__x0010__x0001_ဠ" xfId="4623" xr:uid="{00000000-0005-0000-0000-0000FF110000}"/>
    <cellStyle name="L`" xfId="4624" xr:uid="{00000000-0005-0000-0000-000000120000}"/>
    <cellStyle name="lee" xfId="4625" xr:uid="{00000000-0005-0000-0000-000001120000}"/>
    <cellStyle name="left" xfId="4626" xr:uid="{00000000-0005-0000-0000-000002120000}"/>
    <cellStyle name="Link Currency (0)" xfId="4627" xr:uid="{00000000-0005-0000-0000-000003120000}"/>
    <cellStyle name="Link Currency (2)" xfId="4628" xr:uid="{00000000-0005-0000-0000-000004120000}"/>
    <cellStyle name="Link Units (0)" xfId="4629" xr:uid="{00000000-0005-0000-0000-000005120000}"/>
    <cellStyle name="Link Units (1)" xfId="4630" xr:uid="{00000000-0005-0000-0000-000006120000}"/>
    <cellStyle name="Link Units (2)" xfId="4631" xr:uid="{00000000-0005-0000-0000-000007120000}"/>
    <cellStyle name="Linked Cells" xfId="4632" xr:uid="{00000000-0005-0000-0000-000008120000}"/>
    <cellStyle name="Milliers [0]_Arabian Spec" xfId="4633" xr:uid="{00000000-0005-0000-0000-000009120000}"/>
    <cellStyle name="Milliers_Arabian Spec" xfId="4634" xr:uid="{00000000-0005-0000-0000-00000A120000}"/>
    <cellStyle name="mma_CASH &amp; DSO" xfId="4635" xr:uid="{00000000-0005-0000-0000-00000B120000}"/>
    <cellStyle name="Model" xfId="4636" xr:uid="{00000000-0005-0000-0000-00000C120000}"/>
    <cellStyle name="Mon?aire [0]_Arabian Spec" xfId="4637" xr:uid="{00000000-0005-0000-0000-00000D120000}"/>
    <cellStyle name="Mon?aire_Arabian Spec" xfId="4638" xr:uid="{00000000-0005-0000-0000-00000E120000}"/>
    <cellStyle name="Mon?aire0" xfId="4639" xr:uid="{00000000-0005-0000-0000-00000F120000}"/>
    <cellStyle name="Monétaire [0]_CTC" xfId="4640" xr:uid="{00000000-0005-0000-0000-000010120000}"/>
    <cellStyle name="Monétaire_CTC" xfId="4641" xr:uid="{00000000-0005-0000-0000-000011120000}"/>
    <cellStyle name="no dec" xfId="4642" xr:uid="{00000000-0005-0000-0000-000012120000}"/>
    <cellStyle name="Normal" xfId="4643" xr:uid="{00000000-0005-0000-0000-000013120000}"/>
    <cellStyle name="Normal - Style1" xfId="4644" xr:uid="{00000000-0005-0000-0000-000014120000}"/>
    <cellStyle name="Normal - Style1 2" xfId="4645" xr:uid="{00000000-0005-0000-0000-000015120000}"/>
    <cellStyle name="Normal - Style1 3" xfId="4646" xr:uid="{00000000-0005-0000-0000-000016120000}"/>
    <cellStyle name="Normal - Style1 4" xfId="4647" xr:uid="{00000000-0005-0000-0000-000017120000}"/>
    <cellStyle name="Normal - Style1 5" xfId="4648" xr:uid="{00000000-0005-0000-0000-000018120000}"/>
    <cellStyle name="Normal - Style1 6" xfId="4649" xr:uid="{00000000-0005-0000-0000-000019120000}"/>
    <cellStyle name="Normal - Style1 7" xfId="4650" xr:uid="{00000000-0005-0000-0000-00001A120000}"/>
    <cellStyle name="Normal - Style1_본점_중국TOUR데스크조성공사_공사세부내역서" xfId="4651" xr:uid="{00000000-0005-0000-0000-00001B120000}"/>
    <cellStyle name="Normal - Style2" xfId="4652" xr:uid="{00000000-0005-0000-0000-00001C120000}"/>
    <cellStyle name="Normal - Style3" xfId="4653" xr:uid="{00000000-0005-0000-0000-00001D120000}"/>
    <cellStyle name="Normal - Style4" xfId="4654" xr:uid="{00000000-0005-0000-0000-00001E120000}"/>
    <cellStyle name="Normal - Style5" xfId="4655" xr:uid="{00000000-0005-0000-0000-00001F120000}"/>
    <cellStyle name="Normal - Style6" xfId="4656" xr:uid="{00000000-0005-0000-0000-000020120000}"/>
    <cellStyle name="Normal - Style7" xfId="4657" xr:uid="{00000000-0005-0000-0000-000021120000}"/>
    <cellStyle name="Normal - Style8" xfId="4658" xr:uid="{00000000-0005-0000-0000-000022120000}"/>
    <cellStyle name="Normal - 유형1" xfId="4659" xr:uid="{00000000-0005-0000-0000-000023120000}"/>
    <cellStyle name="normal 2" xfId="4660" xr:uid="{00000000-0005-0000-0000-000024120000}"/>
    <cellStyle name="normal 3" xfId="4661" xr:uid="{00000000-0005-0000-0000-000025120000}"/>
    <cellStyle name="normal 4" xfId="4662" xr:uid="{00000000-0005-0000-0000-000026120000}"/>
    <cellStyle name="normal 5" xfId="4663" xr:uid="{00000000-0005-0000-0000-000027120000}"/>
    <cellStyle name="normal 6" xfId="4664" xr:uid="{00000000-0005-0000-0000-000028120000}"/>
    <cellStyle name="Normal_ SG&amp;A Bridge " xfId="4665" xr:uid="{00000000-0005-0000-0000-000029120000}"/>
    <cellStyle name="Œ…?æ맖?e [0.00]_guyan" xfId="4666" xr:uid="{00000000-0005-0000-0000-00002A120000}"/>
    <cellStyle name="Œ…?æ맖?e_guyan" xfId="4667" xr:uid="{00000000-0005-0000-0000-00002B120000}"/>
    <cellStyle name="oft Excel]_x000d__x000a_Comment=The open=/f lines load custom functions into the Paste Function list._x000d__x000a_Maximized=3_x000d__x000a_AutoFormat=" xfId="4668" xr:uid="{00000000-0005-0000-0000-00002C120000}"/>
    <cellStyle name="per.style" xfId="4669" xr:uid="{00000000-0005-0000-0000-00002D120000}"/>
    <cellStyle name="Percent" xfId="4670" xr:uid="{00000000-0005-0000-0000-00002E120000}"/>
    <cellStyle name="Percent (0)" xfId="4671" xr:uid="{00000000-0005-0000-0000-00002F120000}"/>
    <cellStyle name="Percent [0]" xfId="4672" xr:uid="{00000000-0005-0000-0000-000030120000}"/>
    <cellStyle name="Percent [00]" xfId="4673" xr:uid="{00000000-0005-0000-0000-000031120000}"/>
    <cellStyle name="Percent [2]" xfId="4674" xr:uid="{00000000-0005-0000-0000-000032120000}"/>
    <cellStyle name="Percent 2" xfId="4675" xr:uid="{00000000-0005-0000-0000-000033120000}"/>
    <cellStyle name="Percent 3" xfId="4676" xr:uid="{00000000-0005-0000-0000-000034120000}"/>
    <cellStyle name="Percent 4" xfId="4677" xr:uid="{00000000-0005-0000-0000-000035120000}"/>
    <cellStyle name="Percent 5" xfId="4678" xr:uid="{00000000-0005-0000-0000-000036120000}"/>
    <cellStyle name="Percent 6" xfId="4679" xr:uid="{00000000-0005-0000-0000-000037120000}"/>
    <cellStyle name="Percent 7" xfId="4680" xr:uid="{00000000-0005-0000-0000-000038120000}"/>
    <cellStyle name="Percent 8" xfId="4681" xr:uid="{00000000-0005-0000-0000-000039120000}"/>
    <cellStyle name="Percent_#6 Temps &amp; Contractors" xfId="4682" xr:uid="{00000000-0005-0000-0000-00003A120000}"/>
    <cellStyle name="PrePop Currency (0)" xfId="4683" xr:uid="{00000000-0005-0000-0000-00003B120000}"/>
    <cellStyle name="PrePop Currency (2)" xfId="4684" xr:uid="{00000000-0005-0000-0000-00003C120000}"/>
    <cellStyle name="PrePop Units (0)" xfId="4685" xr:uid="{00000000-0005-0000-0000-00003D120000}"/>
    <cellStyle name="PrePop Units (1)" xfId="4686" xr:uid="{00000000-0005-0000-0000-00003E120000}"/>
    <cellStyle name="PrePop Units (2)" xfId="4687" xr:uid="{00000000-0005-0000-0000-00003F120000}"/>
    <cellStyle name="pricing" xfId="4688" xr:uid="{00000000-0005-0000-0000-000040120000}"/>
    <cellStyle name="PSChar" xfId="4689" xr:uid="{00000000-0005-0000-0000-000041120000}"/>
    <cellStyle name="regstoresfromspecstores" xfId="4690" xr:uid="{00000000-0005-0000-0000-000042120000}"/>
    <cellStyle name="RevList" xfId="4691" xr:uid="{00000000-0005-0000-0000-000043120000}"/>
    <cellStyle name="RevList 2" xfId="4692" xr:uid="{00000000-0005-0000-0000-000044120000}"/>
    <cellStyle name="s]_x000d__x000a_run=c:\Hedgehog\app31.exe_x000d__x000a_spooler=yes_x000d__x000a_load=_x000d__x000a_run=_x000d__x000a_Beep=yes_x000d__x000a_NullPort=None_x000d__x000a_BorderWidth=3_x000d__x000a_CursorBlinkRate=530_x000d__x000a_D" xfId="4693" xr:uid="{00000000-0005-0000-0000-000045120000}"/>
    <cellStyle name="SHADEDSTORES" xfId="4694" xr:uid="{00000000-0005-0000-0000-000046120000}"/>
    <cellStyle name="specstores" xfId="4695" xr:uid="{00000000-0005-0000-0000-000047120000}"/>
    <cellStyle name="_x0001__x0002_ƨƬ_x0007__x000d_ǒǓ _x000d_ǜǜ_x000d__x000d_ǪǪ_x0007__x0007__x0005__x0005__x0010__x0001_ဠ" xfId="4696" xr:uid="{00000000-0005-0000-0000-000048120000}"/>
    <cellStyle name="STANDARD" xfId="4697" xr:uid="{00000000-0005-0000-0000-000049120000}"/>
    <cellStyle name="subhead" xfId="4698" xr:uid="{00000000-0005-0000-0000-00004A120000}"/>
    <cellStyle name="Subtotal" xfId="4699" xr:uid="{00000000-0005-0000-0000-00004B120000}"/>
    <cellStyle name="Text Indent A" xfId="4700" xr:uid="{00000000-0005-0000-0000-00004C120000}"/>
    <cellStyle name="Text Indent B" xfId="4701" xr:uid="{00000000-0005-0000-0000-00004D120000}"/>
    <cellStyle name="Text Indent C" xfId="4702" xr:uid="{00000000-0005-0000-0000-00004E120000}"/>
    <cellStyle name="Title" xfId="4703" xr:uid="{00000000-0005-0000-0000-00004F120000}"/>
    <cellStyle name="title [1]" xfId="4704" xr:uid="{00000000-0005-0000-0000-000050120000}"/>
    <cellStyle name="title [2]" xfId="4705" xr:uid="{00000000-0005-0000-0000-000051120000}"/>
    <cellStyle name="Title 2" xfId="4706" xr:uid="{00000000-0005-0000-0000-000052120000}"/>
    <cellStyle name="Title 3" xfId="4707" xr:uid="{00000000-0005-0000-0000-000053120000}"/>
    <cellStyle name="Title 4" xfId="4708" xr:uid="{00000000-0005-0000-0000-000054120000}"/>
    <cellStyle name="Title 5" xfId="4709" xr:uid="{00000000-0005-0000-0000-000055120000}"/>
    <cellStyle name="Title 6" xfId="4710" xr:uid="{00000000-0005-0000-0000-000056120000}"/>
    <cellStyle name="Title_실행내역서-건대스타시티-080401" xfId="4711" xr:uid="{00000000-0005-0000-0000-000057120000}"/>
    <cellStyle name="Total" xfId="4712" xr:uid="{00000000-0005-0000-0000-000058120000}"/>
    <cellStyle name="Total 2" xfId="4713" xr:uid="{00000000-0005-0000-0000-000059120000}"/>
    <cellStyle name="Total 3" xfId="4714" xr:uid="{00000000-0005-0000-0000-00005A120000}"/>
    <cellStyle name="UM" xfId="4715" xr:uid="{00000000-0005-0000-0000-00005B120000}"/>
    <cellStyle name="Virgule fixe" xfId="4716" xr:uid="{00000000-0005-0000-0000-00005C120000}"/>
    <cellStyle name="W?rung [0]_Compiling Utility Macros" xfId="4717" xr:uid="{00000000-0005-0000-0000-00005D120000}"/>
    <cellStyle name="W?rung_Compiling Utility Macros" xfId="4718" xr:uid="{00000000-0005-0000-0000-00005E120000}"/>
    <cellStyle name="wrap" xfId="4719" xr:uid="{00000000-0005-0000-0000-00005F120000}"/>
    <cellStyle name="_x0008_z" xfId="4720" xr:uid="{00000000-0005-0000-0000-000060120000}"/>
    <cellStyle name="μU¿¡ ¿A´A CIAIÆU¸μAⓒ" xfId="4721" xr:uid="{00000000-0005-0000-0000-000061120000}"/>
    <cellStyle name="パーセント_技計ｾﾝﾀ" xfId="4722" xr:uid="{00000000-0005-0000-0000-000062120000}"/>
    <cellStyle name="_x0010__x0001_ဠ" xfId="4723" xr:uid="{00000000-0005-0000-0000-000063120000}"/>
    <cellStyle name="|?ドE" xfId="4724" xr:uid="{00000000-0005-0000-0000-000064120000}"/>
    <cellStyle name="강조색1 2" xfId="4725" xr:uid="{00000000-0005-0000-0000-000065120000}"/>
    <cellStyle name="강조색2 2" xfId="4726" xr:uid="{00000000-0005-0000-0000-000066120000}"/>
    <cellStyle name="강조색3 2" xfId="4727" xr:uid="{00000000-0005-0000-0000-000067120000}"/>
    <cellStyle name="강조색4 2" xfId="4728" xr:uid="{00000000-0005-0000-0000-000068120000}"/>
    <cellStyle name="강조색5 2" xfId="4729" xr:uid="{00000000-0005-0000-0000-000069120000}"/>
    <cellStyle name="강조색6 2" xfId="4730" xr:uid="{00000000-0005-0000-0000-00006A120000}"/>
    <cellStyle name="견적" xfId="4731" xr:uid="{00000000-0005-0000-0000-00006B120000}"/>
    <cellStyle name="견적 2" xfId="4732" xr:uid="{00000000-0005-0000-0000-00006C120000}"/>
    <cellStyle name="견적 3" xfId="4733" xr:uid="{00000000-0005-0000-0000-00006D120000}"/>
    <cellStyle name="경고문 2" xfId="4734" xr:uid="{00000000-0005-0000-0000-00006E120000}"/>
    <cellStyle name="계산 2" xfId="4735" xr:uid="{00000000-0005-0000-0000-00006F120000}"/>
    <cellStyle name="고정소숫점" xfId="4736" xr:uid="{00000000-0005-0000-0000-000070120000}"/>
    <cellStyle name="고정소숫점 2" xfId="4737" xr:uid="{00000000-0005-0000-0000-000071120000}"/>
    <cellStyle name="고정소숫점 3" xfId="4738" xr:uid="{00000000-0005-0000-0000-000072120000}"/>
    <cellStyle name="고정소숫점 4" xfId="4739" xr:uid="{00000000-0005-0000-0000-000073120000}"/>
    <cellStyle name="고정소숫점 5" xfId="4740" xr:uid="{00000000-0005-0000-0000-000074120000}"/>
    <cellStyle name="고정소숫점 6" xfId="4741" xr:uid="{00000000-0005-0000-0000-000075120000}"/>
    <cellStyle name="고정소숫점_코엑스점_BOBBI BROWN_매장공사_세부내역서" xfId="4742" xr:uid="{00000000-0005-0000-0000-000076120000}"/>
    <cellStyle name="고정출력1" xfId="4743" xr:uid="{00000000-0005-0000-0000-000077120000}"/>
    <cellStyle name="고정출력1 2" xfId="4744" xr:uid="{00000000-0005-0000-0000-000078120000}"/>
    <cellStyle name="고정출력1 3" xfId="4745" xr:uid="{00000000-0005-0000-0000-000079120000}"/>
    <cellStyle name="고정출력1 4" xfId="4746" xr:uid="{00000000-0005-0000-0000-00007A120000}"/>
    <cellStyle name="고정출력1 5" xfId="4747" xr:uid="{00000000-0005-0000-0000-00007B120000}"/>
    <cellStyle name="고정출력1 6" xfId="4748" xr:uid="{00000000-0005-0000-0000-00007C120000}"/>
    <cellStyle name="고정출력1_코엑스점_BOBBI BROWN_매장공사_세부내역서" xfId="4749" xr:uid="{00000000-0005-0000-0000-00007D120000}"/>
    <cellStyle name="고정출력2" xfId="4750" xr:uid="{00000000-0005-0000-0000-00007E120000}"/>
    <cellStyle name="고정출력2 2" xfId="4751" xr:uid="{00000000-0005-0000-0000-00007F120000}"/>
    <cellStyle name="고정출력2 3" xfId="4752" xr:uid="{00000000-0005-0000-0000-000080120000}"/>
    <cellStyle name="고정출력2 4" xfId="4753" xr:uid="{00000000-0005-0000-0000-000081120000}"/>
    <cellStyle name="고정출력2 5" xfId="4754" xr:uid="{00000000-0005-0000-0000-000082120000}"/>
    <cellStyle name="고정출력2 6" xfId="4755" xr:uid="{00000000-0005-0000-0000-000083120000}"/>
    <cellStyle name="고정출력2_코엑스점_BOBBI BROWN_매장공사_세부내역서" xfId="4756" xr:uid="{00000000-0005-0000-0000-000084120000}"/>
    <cellStyle name="공사원가계산서(조경)" xfId="4757" xr:uid="{00000000-0005-0000-0000-000085120000}"/>
    <cellStyle name="기계" xfId="4758" xr:uid="{00000000-0005-0000-0000-000086120000}"/>
    <cellStyle name="기계 2" xfId="4759" xr:uid="{00000000-0005-0000-0000-000087120000}"/>
    <cellStyle name="기계 3" xfId="4760" xr:uid="{00000000-0005-0000-0000-000088120000}"/>
    <cellStyle name="기본숫자" xfId="4761" xr:uid="{00000000-0005-0000-0000-000089120000}"/>
    <cellStyle name="끼_x0001_?" xfId="4762" xr:uid="{00000000-0005-0000-0000-00008A120000}"/>
    <cellStyle name="나쁨 2" xfId="4763" xr:uid="{00000000-0005-0000-0000-00008B120000}"/>
    <cellStyle name="날짜" xfId="4764" xr:uid="{00000000-0005-0000-0000-00008C120000}"/>
    <cellStyle name="날짜 2" xfId="4765" xr:uid="{00000000-0005-0000-0000-00008D120000}"/>
    <cellStyle name="날짜 3" xfId="4766" xr:uid="{00000000-0005-0000-0000-00008E120000}"/>
    <cellStyle name="날짜 4" xfId="4767" xr:uid="{00000000-0005-0000-0000-00008F120000}"/>
    <cellStyle name="날짜 5" xfId="4768" xr:uid="{00000000-0005-0000-0000-000090120000}"/>
    <cellStyle name="날짜 6" xfId="4769" xr:uid="{00000000-0005-0000-0000-000091120000}"/>
    <cellStyle name="날짜_코엑스점_BOBBI BROWN_매장공사_세부내역서" xfId="4770" xr:uid="{00000000-0005-0000-0000-000092120000}"/>
    <cellStyle name="내역서" xfId="4771" xr:uid="{00000000-0005-0000-0000-000093120000}"/>
    <cellStyle name="내역서 2" xfId="4772" xr:uid="{00000000-0005-0000-0000-000094120000}"/>
    <cellStyle name="달러" xfId="4773" xr:uid="{00000000-0005-0000-0000-000095120000}"/>
    <cellStyle name="달러 2" xfId="4774" xr:uid="{00000000-0005-0000-0000-000096120000}"/>
    <cellStyle name="달러 3" xfId="4775" xr:uid="{00000000-0005-0000-0000-000097120000}"/>
    <cellStyle name="달러 4" xfId="4776" xr:uid="{00000000-0005-0000-0000-000098120000}"/>
    <cellStyle name="달러 5" xfId="4777" xr:uid="{00000000-0005-0000-0000-000099120000}"/>
    <cellStyle name="달러 6" xfId="4778" xr:uid="{00000000-0005-0000-0000-00009A120000}"/>
    <cellStyle name="달러_코엑스점_BOBBI BROWN_매장공사_세부내역서" xfId="4779" xr:uid="{00000000-0005-0000-0000-00009B120000}"/>
    <cellStyle name="돋움채" xfId="4780" xr:uid="{00000000-0005-0000-0000-00009C120000}"/>
    <cellStyle name="뒤에 오는 하이퍼링크" xfId="4781" xr:uid="{00000000-0005-0000-0000-00009D120000}"/>
    <cellStyle name="뒤에 오는 하이퍼링크 2" xfId="4782" xr:uid="{00000000-0005-0000-0000-00009E120000}"/>
    <cellStyle name="뒤에 오는 하이퍼링크 3" xfId="4783" xr:uid="{00000000-0005-0000-0000-00009F120000}"/>
    <cellStyle name="똿떓죶Ø? [0.00]_PRODUCT DETAIL Q1" xfId="4784" xr:uid="{00000000-0005-0000-0000-0000A0120000}"/>
    <cellStyle name="똿떓죶Ø?_PRODUCT DETAIL Q1" xfId="4785" xr:uid="{00000000-0005-0000-0000-0000A1120000}"/>
    <cellStyle name="똿떓죶Ø괻 [0.00]_NT Server " xfId="4786" xr:uid="{00000000-0005-0000-0000-0000A2120000}"/>
    <cellStyle name="똿떓죶Ø괻_NT Server " xfId="4787" xr:uid="{00000000-0005-0000-0000-0000A3120000}"/>
    <cellStyle name="똿뗦먛귟 [0.00]_laroux" xfId="4788" xr:uid="{00000000-0005-0000-0000-0000A4120000}"/>
    <cellStyle name="똿뗦먛귟_laroux" xfId="4789" xr:uid="{00000000-0005-0000-0000-0000A5120000}"/>
    <cellStyle name="마ㅊ춤" xfId="4790" xr:uid="{00000000-0005-0000-0000-0000A6120000}"/>
    <cellStyle name="메모 2" xfId="4791" xr:uid="{00000000-0005-0000-0000-0000A7120000}"/>
    <cellStyle name="메모 3" xfId="4792" xr:uid="{00000000-0005-0000-0000-0000A8120000}"/>
    <cellStyle name="묮뎋 [0.00]_NT Server " xfId="4793" xr:uid="{00000000-0005-0000-0000-0000A9120000}"/>
    <cellStyle name="묮뎋_NT Server " xfId="4794" xr:uid="{00000000-0005-0000-0000-0000AA120000}"/>
    <cellStyle name="물량집계(갑)" xfId="4795" xr:uid="{00000000-0005-0000-0000-0000AB120000}"/>
    <cellStyle name="믅됞 [0.00]_laroux" xfId="4796" xr:uid="{00000000-0005-0000-0000-0000AC120000}"/>
    <cellStyle name="믅됞_laroux" xfId="4797" xr:uid="{00000000-0005-0000-0000-0000AD120000}"/>
    <cellStyle name="未定義" xfId="4798" xr:uid="{00000000-0005-0000-0000-0000AE120000}"/>
    <cellStyle name="배분" xfId="4799" xr:uid="{00000000-0005-0000-0000-0000AF120000}"/>
    <cellStyle name="배분 2" xfId="4800" xr:uid="{00000000-0005-0000-0000-0000B0120000}"/>
    <cellStyle name="백" xfId="4801" xr:uid="{00000000-0005-0000-0000-0000B1120000}"/>
    <cellStyle name="백_04028적산수량집계" xfId="4802" xr:uid="{00000000-0005-0000-0000-0000B2120000}"/>
    <cellStyle name="백_BOOKCITY(전기)" xfId="4803" xr:uid="{00000000-0005-0000-0000-0000B3120000}"/>
    <cellStyle name="백_BOOKCITY(전기)_04028적산수량집계" xfId="4804" xr:uid="{00000000-0005-0000-0000-0000B4120000}"/>
    <cellStyle name="백_공설운동진입(가실행)" xfId="4805" xr:uid="{00000000-0005-0000-0000-0000B5120000}"/>
    <cellStyle name="백_공설운동진입(가실행)_04028적산수량집계" xfId="4806" xr:uid="{00000000-0005-0000-0000-0000B6120000}"/>
    <cellStyle name="백_공설운동진입(가실행)_BOOKCITY(전기)" xfId="4807" xr:uid="{00000000-0005-0000-0000-0000B7120000}"/>
    <cellStyle name="백_공설운동진입(가실행)_BOOKCITY(전기)_04028적산수량집계" xfId="4808" xr:uid="{00000000-0005-0000-0000-0000B8120000}"/>
    <cellStyle name="백_공설운동진입(가실행)_사본 - 파주 북시티(이채)" xfId="4809" xr:uid="{00000000-0005-0000-0000-0000B9120000}"/>
    <cellStyle name="백_공설운동진입(가실행)_사본 - 파주 북시티(이채)_04028적산수량집계" xfId="4810" xr:uid="{00000000-0005-0000-0000-0000BA120000}"/>
    <cellStyle name="백_공설운동진입(가실행)_파주 BOOK CITY(통보용)" xfId="4811" xr:uid="{00000000-0005-0000-0000-0000BB120000}"/>
    <cellStyle name="백_공설운동진입(가실행)_파주 BOOK CITY(통보용)_04028적산수량집계" xfId="4812" xr:uid="{00000000-0005-0000-0000-0000BC120000}"/>
    <cellStyle name="백_공설운동진입(가실행)_파주 BOOK CITY가실행내역" xfId="4813" xr:uid="{00000000-0005-0000-0000-0000BD120000}"/>
    <cellStyle name="백_공설운동진입(가실행)_파주 BOOK CITY가실행내역_04028적산수량집계" xfId="4814" xr:uid="{00000000-0005-0000-0000-0000BE120000}"/>
    <cellStyle name="백_공설운동진입(가실행)_파주 북시티(이채)제출" xfId="4815" xr:uid="{00000000-0005-0000-0000-0000BF120000}"/>
    <cellStyle name="백_공설운동진입(가실행)_파주 북시티(이채)제출_04028적산수량집계" xfId="4816" xr:uid="{00000000-0005-0000-0000-0000C0120000}"/>
    <cellStyle name="백_공설운동진입(가실행)_파주 북시티(전체)제출(변경전)" xfId="4817" xr:uid="{00000000-0005-0000-0000-0000C1120000}"/>
    <cellStyle name="백_공설운동진입(가실행)_파주 북시티(전체)제출(변경전)_04028적산수량집계" xfId="4818" xr:uid="{00000000-0005-0000-0000-0000C2120000}"/>
    <cellStyle name="백_사본 - 파주 북시티(이채)" xfId="4819" xr:uid="{00000000-0005-0000-0000-0000C3120000}"/>
    <cellStyle name="백_사본 - 파주 북시티(이채)_04028적산수량집계" xfId="4820" xr:uid="{00000000-0005-0000-0000-0000C4120000}"/>
    <cellStyle name="백_토목내역서" xfId="4821" xr:uid="{00000000-0005-0000-0000-0000C5120000}"/>
    <cellStyle name="백_토목내역서_04028적산수량집계" xfId="4822" xr:uid="{00000000-0005-0000-0000-0000C6120000}"/>
    <cellStyle name="백_토목내역서_BOOKCITY(전기)" xfId="4823" xr:uid="{00000000-0005-0000-0000-0000C7120000}"/>
    <cellStyle name="백_토목내역서_BOOKCITY(전기)_04028적산수량집계" xfId="4824" xr:uid="{00000000-0005-0000-0000-0000C8120000}"/>
    <cellStyle name="백_토목내역서_공설운동진입(가실행)" xfId="4825" xr:uid="{00000000-0005-0000-0000-0000C9120000}"/>
    <cellStyle name="백_토목내역서_공설운동진입(가실행)_04028적산수량집계" xfId="4826" xr:uid="{00000000-0005-0000-0000-0000CA120000}"/>
    <cellStyle name="백_토목내역서_공설운동진입(가실행)_BOOKCITY(전기)" xfId="4827" xr:uid="{00000000-0005-0000-0000-0000CB120000}"/>
    <cellStyle name="백_토목내역서_공설운동진입(가실행)_BOOKCITY(전기)_04028적산수량집계" xfId="4828" xr:uid="{00000000-0005-0000-0000-0000CC120000}"/>
    <cellStyle name="백_토목내역서_공설운동진입(가실행)_사본 - 파주 북시티(이채)" xfId="4829" xr:uid="{00000000-0005-0000-0000-0000CD120000}"/>
    <cellStyle name="백_토목내역서_공설운동진입(가실행)_사본 - 파주 북시티(이채)_04028적산수량집계" xfId="4830" xr:uid="{00000000-0005-0000-0000-0000CE120000}"/>
    <cellStyle name="백_토목내역서_공설운동진입(가실행)_파주 BOOK CITY(통보용)" xfId="4831" xr:uid="{00000000-0005-0000-0000-0000CF120000}"/>
    <cellStyle name="백_토목내역서_공설운동진입(가실행)_파주 BOOK CITY(통보용)_04028적산수량집계" xfId="4832" xr:uid="{00000000-0005-0000-0000-0000D0120000}"/>
    <cellStyle name="백_토목내역서_공설운동진입(가실행)_파주 BOOK CITY가실행내역" xfId="4833" xr:uid="{00000000-0005-0000-0000-0000D1120000}"/>
    <cellStyle name="백_토목내역서_공설운동진입(가실행)_파주 BOOK CITY가실행내역_04028적산수량집계" xfId="4834" xr:uid="{00000000-0005-0000-0000-0000D2120000}"/>
    <cellStyle name="백_토목내역서_공설운동진입(가실행)_파주 북시티(이채)제출" xfId="4835" xr:uid="{00000000-0005-0000-0000-0000D3120000}"/>
    <cellStyle name="백_토목내역서_공설운동진입(가실행)_파주 북시티(이채)제출_04028적산수량집계" xfId="4836" xr:uid="{00000000-0005-0000-0000-0000D4120000}"/>
    <cellStyle name="백_토목내역서_공설운동진입(가실행)_파주 북시티(전체)제출(변경전)" xfId="4837" xr:uid="{00000000-0005-0000-0000-0000D5120000}"/>
    <cellStyle name="백_토목내역서_공설운동진입(가실행)_파주 북시티(전체)제출(변경전)_04028적산수량집계" xfId="4838" xr:uid="{00000000-0005-0000-0000-0000D6120000}"/>
    <cellStyle name="백_토목내역서_사본 - 파주 북시티(이채)" xfId="4839" xr:uid="{00000000-0005-0000-0000-0000D7120000}"/>
    <cellStyle name="백_토목내역서_사본 - 파주 북시티(이채)_04028적산수량집계" xfId="4840" xr:uid="{00000000-0005-0000-0000-0000D8120000}"/>
    <cellStyle name="백_토목내역서_파주 BOOK CITY(통보용)" xfId="4841" xr:uid="{00000000-0005-0000-0000-0000D9120000}"/>
    <cellStyle name="백_토목내역서_파주 BOOK CITY(통보용)_04028적산수량집계" xfId="4842" xr:uid="{00000000-0005-0000-0000-0000DA120000}"/>
    <cellStyle name="백_토목내역서_파주 BOOK CITY가실행내역" xfId="4843" xr:uid="{00000000-0005-0000-0000-0000DB120000}"/>
    <cellStyle name="백_토목내역서_파주 BOOK CITY가실행내역_04028적산수량집계" xfId="4844" xr:uid="{00000000-0005-0000-0000-0000DC120000}"/>
    <cellStyle name="백_토목내역서_파주 북시티(이채)제출" xfId="4845" xr:uid="{00000000-0005-0000-0000-0000DD120000}"/>
    <cellStyle name="백_토목내역서_파주 북시티(이채)제출_04028적산수량집계" xfId="4846" xr:uid="{00000000-0005-0000-0000-0000DE120000}"/>
    <cellStyle name="백_토목내역서_파주 북시티(전체)제출(변경전)" xfId="4847" xr:uid="{00000000-0005-0000-0000-0000DF120000}"/>
    <cellStyle name="백_토목내역서_파주 북시티(전체)제출(변경전)_04028적산수량집계" xfId="4848" xr:uid="{00000000-0005-0000-0000-0000E0120000}"/>
    <cellStyle name="백_파주 BOOK CITY(통보용)" xfId="4849" xr:uid="{00000000-0005-0000-0000-0000E1120000}"/>
    <cellStyle name="백_파주 BOOK CITY(통보용)_04028적산수량집계" xfId="4850" xr:uid="{00000000-0005-0000-0000-0000E2120000}"/>
    <cellStyle name="백_파주 BOOK CITY가실행내역" xfId="4851" xr:uid="{00000000-0005-0000-0000-0000E3120000}"/>
    <cellStyle name="백_파주 BOOK CITY가실행내역_04028적산수량집계" xfId="4852" xr:uid="{00000000-0005-0000-0000-0000E4120000}"/>
    <cellStyle name="백_파주 북시티(이채)제출" xfId="4853" xr:uid="{00000000-0005-0000-0000-0000E5120000}"/>
    <cellStyle name="백_파주 북시티(이채)제출_04028적산수량집계" xfId="4854" xr:uid="{00000000-0005-0000-0000-0000E6120000}"/>
    <cellStyle name="백_파주 북시티(전체)제출(변경전)" xfId="4855" xr:uid="{00000000-0005-0000-0000-0000E7120000}"/>
    <cellStyle name="백_파주 북시티(전체)제출(변경전)_04028적산수량집계" xfId="4856" xr:uid="{00000000-0005-0000-0000-0000E8120000}"/>
    <cellStyle name="백분율 [△1]" xfId="4857" xr:uid="{00000000-0005-0000-0000-0000E9120000}"/>
    <cellStyle name="백분율 [△2]" xfId="4858" xr:uid="{00000000-0005-0000-0000-0000EA120000}"/>
    <cellStyle name="백분율 [0]" xfId="4859" xr:uid="{00000000-0005-0000-0000-0000EB120000}"/>
    <cellStyle name="백분율 [2]" xfId="4860" xr:uid="{00000000-0005-0000-0000-0000EC120000}"/>
    <cellStyle name="백분율 10" xfId="4861" xr:uid="{00000000-0005-0000-0000-0000ED120000}"/>
    <cellStyle name="백분율 11" xfId="4862" xr:uid="{00000000-0005-0000-0000-0000EE120000}"/>
    <cellStyle name="백분율 12" xfId="4863" xr:uid="{00000000-0005-0000-0000-0000EF120000}"/>
    <cellStyle name="백분율 13" xfId="4864" xr:uid="{00000000-0005-0000-0000-0000F0120000}"/>
    <cellStyle name="백분율 14" xfId="4865" xr:uid="{00000000-0005-0000-0000-0000F1120000}"/>
    <cellStyle name="백분율 15" xfId="4866" xr:uid="{00000000-0005-0000-0000-0000F2120000}"/>
    <cellStyle name="백분율 16" xfId="4867" xr:uid="{00000000-0005-0000-0000-0000F3120000}"/>
    <cellStyle name="백분율 17" xfId="4868" xr:uid="{00000000-0005-0000-0000-0000F4120000}"/>
    <cellStyle name="백분율 18" xfId="4869" xr:uid="{00000000-0005-0000-0000-0000F5120000}"/>
    <cellStyle name="백분율 19" xfId="4870" xr:uid="{00000000-0005-0000-0000-0000F6120000}"/>
    <cellStyle name="백분율 2" xfId="4871" xr:uid="{00000000-0005-0000-0000-0000F7120000}"/>
    <cellStyle name="백분율 2 2" xfId="4872" xr:uid="{00000000-0005-0000-0000-0000F8120000}"/>
    <cellStyle name="백분율 20" xfId="4873" xr:uid="{00000000-0005-0000-0000-0000F9120000}"/>
    <cellStyle name="백분율 21" xfId="4874" xr:uid="{00000000-0005-0000-0000-0000FA120000}"/>
    <cellStyle name="백분율 22" xfId="4875" xr:uid="{00000000-0005-0000-0000-0000FB120000}"/>
    <cellStyle name="백분율 23" xfId="4876" xr:uid="{00000000-0005-0000-0000-0000FC120000}"/>
    <cellStyle name="백분율 24" xfId="4877" xr:uid="{00000000-0005-0000-0000-0000FD120000}"/>
    <cellStyle name="백분율 25" xfId="4878" xr:uid="{00000000-0005-0000-0000-0000FE120000}"/>
    <cellStyle name="백분율 26" xfId="4879" xr:uid="{00000000-0005-0000-0000-0000FF120000}"/>
    <cellStyle name="백분율 27" xfId="4880" xr:uid="{00000000-0005-0000-0000-000000130000}"/>
    <cellStyle name="백분율 28" xfId="4881" xr:uid="{00000000-0005-0000-0000-000001130000}"/>
    <cellStyle name="백분율 29" xfId="4882" xr:uid="{00000000-0005-0000-0000-000002130000}"/>
    <cellStyle name="백분율 3" xfId="4883" xr:uid="{00000000-0005-0000-0000-000003130000}"/>
    <cellStyle name="백분율 3 2" xfId="4884" xr:uid="{00000000-0005-0000-0000-000004130000}"/>
    <cellStyle name="백분율 3 3" xfId="4885" xr:uid="{00000000-0005-0000-0000-000005130000}"/>
    <cellStyle name="백분율 30" xfId="4886" xr:uid="{00000000-0005-0000-0000-000006130000}"/>
    <cellStyle name="백분율 31" xfId="4887" xr:uid="{00000000-0005-0000-0000-000007130000}"/>
    <cellStyle name="백분율 32" xfId="4888" xr:uid="{00000000-0005-0000-0000-000008130000}"/>
    <cellStyle name="백분율 33" xfId="4889" xr:uid="{00000000-0005-0000-0000-000009130000}"/>
    <cellStyle name="백분율 34" xfId="4890" xr:uid="{00000000-0005-0000-0000-00000A130000}"/>
    <cellStyle name="백분율 35" xfId="4891" xr:uid="{00000000-0005-0000-0000-00000B130000}"/>
    <cellStyle name="백분율 36" xfId="4892" xr:uid="{00000000-0005-0000-0000-00000C130000}"/>
    <cellStyle name="백분율 37" xfId="4893" xr:uid="{00000000-0005-0000-0000-00000D130000}"/>
    <cellStyle name="백분율 38" xfId="4894" xr:uid="{00000000-0005-0000-0000-00000E130000}"/>
    <cellStyle name="백분율 39" xfId="4895" xr:uid="{00000000-0005-0000-0000-00000F130000}"/>
    <cellStyle name="백분율 4" xfId="4896" xr:uid="{00000000-0005-0000-0000-000010130000}"/>
    <cellStyle name="백분율 4 2" xfId="4897" xr:uid="{00000000-0005-0000-0000-000011130000}"/>
    <cellStyle name="백분율 40" xfId="4898" xr:uid="{00000000-0005-0000-0000-000012130000}"/>
    <cellStyle name="백분율 41" xfId="4899" xr:uid="{00000000-0005-0000-0000-000013130000}"/>
    <cellStyle name="백분율 42" xfId="4900" xr:uid="{00000000-0005-0000-0000-000014130000}"/>
    <cellStyle name="백분율 43" xfId="4901" xr:uid="{00000000-0005-0000-0000-000015130000}"/>
    <cellStyle name="백분율 44" xfId="4902" xr:uid="{00000000-0005-0000-0000-000016130000}"/>
    <cellStyle name="백분율 45" xfId="4903" xr:uid="{00000000-0005-0000-0000-000017130000}"/>
    <cellStyle name="백분율 46" xfId="4904" xr:uid="{00000000-0005-0000-0000-000018130000}"/>
    <cellStyle name="백분율 47" xfId="4905" xr:uid="{00000000-0005-0000-0000-000019130000}"/>
    <cellStyle name="백분율 48" xfId="4906" xr:uid="{00000000-0005-0000-0000-00001A130000}"/>
    <cellStyle name="백분율 49" xfId="4907" xr:uid="{00000000-0005-0000-0000-00001B130000}"/>
    <cellStyle name="백분율 5" xfId="4908" xr:uid="{00000000-0005-0000-0000-00001C130000}"/>
    <cellStyle name="백분율 50" xfId="4909" xr:uid="{00000000-0005-0000-0000-00001D130000}"/>
    <cellStyle name="백분율 51" xfId="4910" xr:uid="{00000000-0005-0000-0000-00001E130000}"/>
    <cellStyle name="백분율 52" xfId="4911" xr:uid="{00000000-0005-0000-0000-00001F130000}"/>
    <cellStyle name="백분율 6" xfId="4912" xr:uid="{00000000-0005-0000-0000-000020130000}"/>
    <cellStyle name="백분율 7" xfId="4913" xr:uid="{00000000-0005-0000-0000-000021130000}"/>
    <cellStyle name="백분율 8" xfId="4914" xr:uid="{00000000-0005-0000-0000-000022130000}"/>
    <cellStyle name="백분율 9" xfId="4915" xr:uid="{00000000-0005-0000-0000-000023130000}"/>
    <cellStyle name="백분율［△1］" xfId="4916" xr:uid="{00000000-0005-0000-0000-000024130000}"/>
    <cellStyle name="백분율［△1］ 2" xfId="4917" xr:uid="{00000000-0005-0000-0000-000025130000}"/>
    <cellStyle name="백분율［△2］" xfId="4918" xr:uid="{00000000-0005-0000-0000-000026130000}"/>
    <cellStyle name="백분율［△2］ 2" xfId="4919" xr:uid="{00000000-0005-0000-0000-000027130000}"/>
    <cellStyle name="벭?_Q1 PRODUCT ACTUAL_4월 (2)" xfId="4920" xr:uid="{00000000-0005-0000-0000-000028130000}"/>
    <cellStyle name="병합 후 가운데 맞춤" xfId="4921" xr:uid="{00000000-0005-0000-0000-000029130000}"/>
    <cellStyle name="병합 후 가운데 정열" xfId="4922" xr:uid="{00000000-0005-0000-0000-00002A130000}"/>
    <cellStyle name="보통 2" xfId="4923" xr:uid="{00000000-0005-0000-0000-00002B130000}"/>
    <cellStyle name="봵" xfId="4924" xr:uid="{00000000-0005-0000-0000-00002C130000}"/>
    <cellStyle name="봵_견적대비표-하드웨어" xfId="4925" xr:uid="{00000000-0005-0000-0000-00002D130000}"/>
    <cellStyle name="봵_견적대비표-하드웨어_1. 가실행예산(0629 도면기준)" xfId="4926" xr:uid="{00000000-0005-0000-0000-00002E130000}"/>
    <cellStyle name="봵_견적대비표-하드웨어_1. 가실행예산(0629 도면기준)_4.일신통신 가실행예산(재견적合)" xfId="4927" xr:uid="{00000000-0005-0000-0000-00002F130000}"/>
    <cellStyle name="봵_견적대비표-하드웨어_1.본실행 - 조정(안)" xfId="4928" xr:uid="{00000000-0005-0000-0000-000030130000}"/>
    <cellStyle name="봵_견적대비표-하드웨어_1.본실행 - 조정(안)_4.일신통신 가실행예산(재견적合)" xfId="4929" xr:uid="{00000000-0005-0000-0000-000031130000}"/>
    <cellStyle name="봵_견적대비표-하드웨어_4.일신통신 가실행예산(재견적合)" xfId="4930" xr:uid="{00000000-0005-0000-0000-000032130000}"/>
    <cellStyle name="봵_견적대비표-하드웨어_총괄 내역서" xfId="4931" xr:uid="{00000000-0005-0000-0000-000033130000}"/>
    <cellStyle name="봵_견적대비표-하드웨어_총괄 내역서_4.일신통신 가실행예산(재견적合)" xfId="4932" xr:uid="{00000000-0005-0000-0000-000034130000}"/>
    <cellStyle name="봵_실행현장검토안(20010412)" xfId="4933" xr:uid="{00000000-0005-0000-0000-000035130000}"/>
    <cellStyle name="봵_실행현장검토안(20010412)_1. 가실행예산(0629 도면기준)" xfId="4934" xr:uid="{00000000-0005-0000-0000-000036130000}"/>
    <cellStyle name="봵_실행현장검토안(20010412)_1. 가실행예산(0629 도면기준)_4.일신통신 가실행예산(재견적合)" xfId="4935" xr:uid="{00000000-0005-0000-0000-000037130000}"/>
    <cellStyle name="봵_실행현장검토안(20010412)_1.본실행 - 조정(안)" xfId="4936" xr:uid="{00000000-0005-0000-0000-000038130000}"/>
    <cellStyle name="봵_실행현장검토안(20010412)_1.본실행 - 조정(안)_4.일신통신 가실행예산(재견적合)" xfId="4937" xr:uid="{00000000-0005-0000-0000-000039130000}"/>
    <cellStyle name="봵_실행현장검토안(20010412)_4.일신통신 가실행예산(재견적合)" xfId="4938" xr:uid="{00000000-0005-0000-0000-00003A130000}"/>
    <cellStyle name="봵_실행현장검토안(20010412)_총괄 내역서" xfId="4939" xr:uid="{00000000-0005-0000-0000-00003B130000}"/>
    <cellStyle name="봵_실행현장검토안(20010412)_총괄 내역서_4.일신통신 가실행예산(재견적合)" xfId="4940" xr:uid="{00000000-0005-0000-0000-00003C130000}"/>
    <cellStyle name="분수" xfId="4941" xr:uid="{00000000-0005-0000-0000-00003D130000}"/>
    <cellStyle name="뷭?" xfId="4942" xr:uid="{00000000-0005-0000-0000-00003E130000}"/>
    <cellStyle name="빨강" xfId="4943" xr:uid="{00000000-0005-0000-0000-00003F130000}"/>
    <cellStyle name="常规_cs802" xfId="4944" xr:uid="{00000000-0005-0000-0000-000040130000}"/>
    <cellStyle name="선택영역의 가운데로" xfId="4945" xr:uid="{00000000-0005-0000-0000-000041130000}"/>
    <cellStyle name="선택영역의 가운데로 2" xfId="4946" xr:uid="{00000000-0005-0000-0000-000042130000}"/>
    <cellStyle name="설계서" xfId="4947" xr:uid="{00000000-0005-0000-0000-000043130000}"/>
    <cellStyle name="설계서 2" xfId="4948" xr:uid="{00000000-0005-0000-0000-000044130000}"/>
    <cellStyle name="설명 텍스트 2" xfId="4949" xr:uid="{00000000-0005-0000-0000-000045130000}"/>
    <cellStyle name="셀 확인 2" xfId="4950" xr:uid="{00000000-0005-0000-0000-000046130000}"/>
    <cellStyle name="수량" xfId="4951" xr:uid="{00000000-0005-0000-0000-000047130000}"/>
    <cellStyle name="숫자(R)" xfId="4952" xr:uid="{00000000-0005-0000-0000-000048130000}"/>
    <cellStyle name="쉼표 [0] 10" xfId="4953" xr:uid="{00000000-0005-0000-0000-000049130000}"/>
    <cellStyle name="쉼표 [0] 2" xfId="5" xr:uid="{00000000-0005-0000-0000-00004A130000}"/>
    <cellStyle name="쉼표 [0] 2 15 2" xfId="4954" xr:uid="{00000000-0005-0000-0000-00004B130000}"/>
    <cellStyle name="쉼표 [0] 2 2" xfId="4955" xr:uid="{00000000-0005-0000-0000-00004C130000}"/>
    <cellStyle name="쉼표 [0] 2 2 2" xfId="4956" xr:uid="{00000000-0005-0000-0000-00004D130000}"/>
    <cellStyle name="쉼표 [0] 2 2 3" xfId="4957" xr:uid="{00000000-0005-0000-0000-00004E130000}"/>
    <cellStyle name="쉼표 [0] 2 3" xfId="7" xr:uid="{00000000-0005-0000-0000-00004F130000}"/>
    <cellStyle name="쉼표 [0] 2 3 2" xfId="4958" xr:uid="{00000000-0005-0000-0000-000050130000}"/>
    <cellStyle name="쉼표 [0] 2 4" xfId="4959" xr:uid="{00000000-0005-0000-0000-000051130000}"/>
    <cellStyle name="쉼표 [0] 2 4 2" xfId="4960" xr:uid="{00000000-0005-0000-0000-000052130000}"/>
    <cellStyle name="쉼표 [0] 2 5" xfId="4961" xr:uid="{00000000-0005-0000-0000-000053130000}"/>
    <cellStyle name="쉼표 [0] 2 6" xfId="4962" xr:uid="{00000000-0005-0000-0000-000054130000}"/>
    <cellStyle name="쉼표 [0] 2 7" xfId="4963" xr:uid="{00000000-0005-0000-0000-000055130000}"/>
    <cellStyle name="쉼표 [0] 2 95" xfId="4964" xr:uid="{00000000-0005-0000-0000-000056130000}"/>
    <cellStyle name="쉼표 [0] 23" xfId="4965" xr:uid="{00000000-0005-0000-0000-000057130000}"/>
    <cellStyle name="쉼표 [0] 3" xfId="14" xr:uid="{00000000-0005-0000-0000-000058130000}"/>
    <cellStyle name="쉼표 [0] 3 2" xfId="4966" xr:uid="{00000000-0005-0000-0000-000059130000}"/>
    <cellStyle name="쉼표 [0] 3 2 2" xfId="4967" xr:uid="{00000000-0005-0000-0000-00005A130000}"/>
    <cellStyle name="쉼표 [0] 3 3" xfId="4968" xr:uid="{00000000-0005-0000-0000-00005B130000}"/>
    <cellStyle name="쉼표 [0] 4" xfId="3" xr:uid="{00000000-0005-0000-0000-00005C130000}"/>
    <cellStyle name="쉼표 [0] 4 2" xfId="11" xr:uid="{00000000-0005-0000-0000-00005D130000}"/>
    <cellStyle name="쉼표 [0] 4 2 2" xfId="4969" xr:uid="{00000000-0005-0000-0000-00005E130000}"/>
    <cellStyle name="쉼표 [0] 4 3" xfId="4970" xr:uid="{00000000-0005-0000-0000-00005F130000}"/>
    <cellStyle name="쉼표 [0] 4 4" xfId="4971" xr:uid="{00000000-0005-0000-0000-000060130000}"/>
    <cellStyle name="쉼표 [0] 4 5" xfId="4972" xr:uid="{00000000-0005-0000-0000-000061130000}"/>
    <cellStyle name="쉼표 [0] 4 6" xfId="4973" xr:uid="{00000000-0005-0000-0000-000062130000}"/>
    <cellStyle name="쉼표 [0] 5" xfId="15" xr:uid="{00000000-0005-0000-0000-000063130000}"/>
    <cellStyle name="쉼표 [0] 5 2" xfId="4974" xr:uid="{00000000-0005-0000-0000-000064130000}"/>
    <cellStyle name="쉼표 [0] 6" xfId="4975" xr:uid="{00000000-0005-0000-0000-000065130000}"/>
    <cellStyle name="쉼표 [0] 6 2" xfId="4976" xr:uid="{00000000-0005-0000-0000-000066130000}"/>
    <cellStyle name="쉼표 [0] 7" xfId="4977" xr:uid="{00000000-0005-0000-0000-000067130000}"/>
    <cellStyle name="쉼표 [0] 8" xfId="12" xr:uid="{00000000-0005-0000-0000-000068130000}"/>
    <cellStyle name="쉼표 [0]_0429-삼성화재일산사옥수장공사(rami)" xfId="8" xr:uid="{00000000-0005-0000-0000-000069130000}"/>
    <cellStyle name="쉼표 2" xfId="4978" xr:uid="{00000000-0005-0000-0000-00006A130000}"/>
    <cellStyle name="스타일 1" xfId="4979" xr:uid="{00000000-0005-0000-0000-00006B130000}"/>
    <cellStyle name="스타일 1 2" xfId="4980" xr:uid="{00000000-0005-0000-0000-00006C130000}"/>
    <cellStyle name="스타일 1 3" xfId="4981" xr:uid="{00000000-0005-0000-0000-00006D130000}"/>
    <cellStyle name="스타일 1 4" xfId="4982" xr:uid="{00000000-0005-0000-0000-00006E130000}"/>
    <cellStyle name="스타일 10" xfId="4983" xr:uid="{00000000-0005-0000-0000-00006F130000}"/>
    <cellStyle name="스타일 100" xfId="4984" xr:uid="{00000000-0005-0000-0000-000070130000}"/>
    <cellStyle name="스타일 101" xfId="4985" xr:uid="{00000000-0005-0000-0000-000071130000}"/>
    <cellStyle name="스타일 102" xfId="4986" xr:uid="{00000000-0005-0000-0000-000072130000}"/>
    <cellStyle name="스타일 103" xfId="4987" xr:uid="{00000000-0005-0000-0000-000073130000}"/>
    <cellStyle name="스타일 104" xfId="4988" xr:uid="{00000000-0005-0000-0000-000074130000}"/>
    <cellStyle name="스타일 105" xfId="4989" xr:uid="{00000000-0005-0000-0000-000075130000}"/>
    <cellStyle name="스타일 106" xfId="4990" xr:uid="{00000000-0005-0000-0000-000076130000}"/>
    <cellStyle name="스타일 107" xfId="4991" xr:uid="{00000000-0005-0000-0000-000077130000}"/>
    <cellStyle name="스타일 108" xfId="4992" xr:uid="{00000000-0005-0000-0000-000078130000}"/>
    <cellStyle name="스타일 109" xfId="4993" xr:uid="{00000000-0005-0000-0000-000079130000}"/>
    <cellStyle name="스타일 11" xfId="4994" xr:uid="{00000000-0005-0000-0000-00007A130000}"/>
    <cellStyle name="스타일 110" xfId="4995" xr:uid="{00000000-0005-0000-0000-00007B130000}"/>
    <cellStyle name="스타일 111" xfId="4996" xr:uid="{00000000-0005-0000-0000-00007C130000}"/>
    <cellStyle name="스타일 112" xfId="4997" xr:uid="{00000000-0005-0000-0000-00007D130000}"/>
    <cellStyle name="스타일 113" xfId="4998" xr:uid="{00000000-0005-0000-0000-00007E130000}"/>
    <cellStyle name="스타일 114" xfId="4999" xr:uid="{00000000-0005-0000-0000-00007F130000}"/>
    <cellStyle name="스타일 115" xfId="5000" xr:uid="{00000000-0005-0000-0000-000080130000}"/>
    <cellStyle name="스타일 116" xfId="5001" xr:uid="{00000000-0005-0000-0000-000081130000}"/>
    <cellStyle name="스타일 117" xfId="5002" xr:uid="{00000000-0005-0000-0000-000082130000}"/>
    <cellStyle name="스타일 118" xfId="5003" xr:uid="{00000000-0005-0000-0000-000083130000}"/>
    <cellStyle name="스타일 119" xfId="5004" xr:uid="{00000000-0005-0000-0000-000084130000}"/>
    <cellStyle name="스타일 12" xfId="5005" xr:uid="{00000000-0005-0000-0000-000085130000}"/>
    <cellStyle name="스타일 120" xfId="5006" xr:uid="{00000000-0005-0000-0000-000086130000}"/>
    <cellStyle name="스타일 121" xfId="5007" xr:uid="{00000000-0005-0000-0000-000087130000}"/>
    <cellStyle name="스타일 122" xfId="5008" xr:uid="{00000000-0005-0000-0000-000088130000}"/>
    <cellStyle name="스타일 123" xfId="5009" xr:uid="{00000000-0005-0000-0000-000089130000}"/>
    <cellStyle name="스타일 124" xfId="5010" xr:uid="{00000000-0005-0000-0000-00008A130000}"/>
    <cellStyle name="스타일 125" xfId="5011" xr:uid="{00000000-0005-0000-0000-00008B130000}"/>
    <cellStyle name="스타일 126" xfId="5012" xr:uid="{00000000-0005-0000-0000-00008C130000}"/>
    <cellStyle name="스타일 127" xfId="5013" xr:uid="{00000000-0005-0000-0000-00008D130000}"/>
    <cellStyle name="스타일 128" xfId="5014" xr:uid="{00000000-0005-0000-0000-00008E130000}"/>
    <cellStyle name="스타일 129" xfId="5015" xr:uid="{00000000-0005-0000-0000-00008F130000}"/>
    <cellStyle name="스타일 13" xfId="5016" xr:uid="{00000000-0005-0000-0000-000090130000}"/>
    <cellStyle name="스타일 130" xfId="5017" xr:uid="{00000000-0005-0000-0000-000091130000}"/>
    <cellStyle name="스타일 131" xfId="5018" xr:uid="{00000000-0005-0000-0000-000092130000}"/>
    <cellStyle name="스타일 132" xfId="5019" xr:uid="{00000000-0005-0000-0000-000093130000}"/>
    <cellStyle name="스타일 133" xfId="5020" xr:uid="{00000000-0005-0000-0000-000094130000}"/>
    <cellStyle name="스타일 134" xfId="5021" xr:uid="{00000000-0005-0000-0000-000095130000}"/>
    <cellStyle name="스타일 135" xfId="5022" xr:uid="{00000000-0005-0000-0000-000096130000}"/>
    <cellStyle name="스타일 136" xfId="5023" xr:uid="{00000000-0005-0000-0000-000097130000}"/>
    <cellStyle name="스타일 137" xfId="5024" xr:uid="{00000000-0005-0000-0000-000098130000}"/>
    <cellStyle name="스타일 138" xfId="5025" xr:uid="{00000000-0005-0000-0000-000099130000}"/>
    <cellStyle name="스타일 139" xfId="5026" xr:uid="{00000000-0005-0000-0000-00009A130000}"/>
    <cellStyle name="스타일 14" xfId="5027" xr:uid="{00000000-0005-0000-0000-00009B130000}"/>
    <cellStyle name="스타일 140" xfId="5028" xr:uid="{00000000-0005-0000-0000-00009C130000}"/>
    <cellStyle name="스타일 141" xfId="5029" xr:uid="{00000000-0005-0000-0000-00009D130000}"/>
    <cellStyle name="스타일 142" xfId="5030" xr:uid="{00000000-0005-0000-0000-00009E130000}"/>
    <cellStyle name="스타일 143" xfId="5031" xr:uid="{00000000-0005-0000-0000-00009F130000}"/>
    <cellStyle name="스타일 144" xfId="5032" xr:uid="{00000000-0005-0000-0000-0000A0130000}"/>
    <cellStyle name="스타일 145" xfId="5033" xr:uid="{00000000-0005-0000-0000-0000A1130000}"/>
    <cellStyle name="스타일 146" xfId="5034" xr:uid="{00000000-0005-0000-0000-0000A2130000}"/>
    <cellStyle name="스타일 147" xfId="5035" xr:uid="{00000000-0005-0000-0000-0000A3130000}"/>
    <cellStyle name="스타일 148" xfId="5036" xr:uid="{00000000-0005-0000-0000-0000A4130000}"/>
    <cellStyle name="스타일 149" xfId="5037" xr:uid="{00000000-0005-0000-0000-0000A5130000}"/>
    <cellStyle name="스타일 15" xfId="5038" xr:uid="{00000000-0005-0000-0000-0000A6130000}"/>
    <cellStyle name="스타일 150" xfId="5039" xr:uid="{00000000-0005-0000-0000-0000A7130000}"/>
    <cellStyle name="스타일 151" xfId="5040" xr:uid="{00000000-0005-0000-0000-0000A8130000}"/>
    <cellStyle name="스타일 152" xfId="5041" xr:uid="{00000000-0005-0000-0000-0000A9130000}"/>
    <cellStyle name="스타일 153" xfId="5042" xr:uid="{00000000-0005-0000-0000-0000AA130000}"/>
    <cellStyle name="스타일 154" xfId="5043" xr:uid="{00000000-0005-0000-0000-0000AB130000}"/>
    <cellStyle name="스타일 155" xfId="5044" xr:uid="{00000000-0005-0000-0000-0000AC130000}"/>
    <cellStyle name="스타일 156" xfId="5045" xr:uid="{00000000-0005-0000-0000-0000AD130000}"/>
    <cellStyle name="스타일 157" xfId="5046" xr:uid="{00000000-0005-0000-0000-0000AE130000}"/>
    <cellStyle name="스타일 158" xfId="5047" xr:uid="{00000000-0005-0000-0000-0000AF130000}"/>
    <cellStyle name="스타일 159" xfId="5048" xr:uid="{00000000-0005-0000-0000-0000B0130000}"/>
    <cellStyle name="스타일 16" xfId="5049" xr:uid="{00000000-0005-0000-0000-0000B1130000}"/>
    <cellStyle name="스타일 160" xfId="5050" xr:uid="{00000000-0005-0000-0000-0000B2130000}"/>
    <cellStyle name="스타일 161" xfId="5051" xr:uid="{00000000-0005-0000-0000-0000B3130000}"/>
    <cellStyle name="스타일 162" xfId="5052" xr:uid="{00000000-0005-0000-0000-0000B4130000}"/>
    <cellStyle name="스타일 163" xfId="5053" xr:uid="{00000000-0005-0000-0000-0000B5130000}"/>
    <cellStyle name="스타일 164" xfId="5054" xr:uid="{00000000-0005-0000-0000-0000B6130000}"/>
    <cellStyle name="스타일 165" xfId="5055" xr:uid="{00000000-0005-0000-0000-0000B7130000}"/>
    <cellStyle name="스타일 166" xfId="5056" xr:uid="{00000000-0005-0000-0000-0000B8130000}"/>
    <cellStyle name="스타일 167" xfId="5057" xr:uid="{00000000-0005-0000-0000-0000B9130000}"/>
    <cellStyle name="스타일 168" xfId="5058" xr:uid="{00000000-0005-0000-0000-0000BA130000}"/>
    <cellStyle name="스타일 169" xfId="5059" xr:uid="{00000000-0005-0000-0000-0000BB130000}"/>
    <cellStyle name="스타일 17" xfId="5060" xr:uid="{00000000-0005-0000-0000-0000BC130000}"/>
    <cellStyle name="스타일 170" xfId="5061" xr:uid="{00000000-0005-0000-0000-0000BD130000}"/>
    <cellStyle name="스타일 171" xfId="5062" xr:uid="{00000000-0005-0000-0000-0000BE130000}"/>
    <cellStyle name="스타일 172" xfId="5063" xr:uid="{00000000-0005-0000-0000-0000BF130000}"/>
    <cellStyle name="스타일 173" xfId="5064" xr:uid="{00000000-0005-0000-0000-0000C0130000}"/>
    <cellStyle name="스타일 174" xfId="5065" xr:uid="{00000000-0005-0000-0000-0000C1130000}"/>
    <cellStyle name="스타일 175" xfId="5066" xr:uid="{00000000-0005-0000-0000-0000C2130000}"/>
    <cellStyle name="스타일 176" xfId="5067" xr:uid="{00000000-0005-0000-0000-0000C3130000}"/>
    <cellStyle name="스타일 177" xfId="5068" xr:uid="{00000000-0005-0000-0000-0000C4130000}"/>
    <cellStyle name="스타일 178" xfId="5069" xr:uid="{00000000-0005-0000-0000-0000C5130000}"/>
    <cellStyle name="스타일 179" xfId="5070" xr:uid="{00000000-0005-0000-0000-0000C6130000}"/>
    <cellStyle name="스타일 18" xfId="5071" xr:uid="{00000000-0005-0000-0000-0000C7130000}"/>
    <cellStyle name="스타일 180" xfId="5072" xr:uid="{00000000-0005-0000-0000-0000C8130000}"/>
    <cellStyle name="스타일 181" xfId="5073" xr:uid="{00000000-0005-0000-0000-0000C9130000}"/>
    <cellStyle name="스타일 182" xfId="5074" xr:uid="{00000000-0005-0000-0000-0000CA130000}"/>
    <cellStyle name="스타일 183" xfId="5075" xr:uid="{00000000-0005-0000-0000-0000CB130000}"/>
    <cellStyle name="스타일 184" xfId="5076" xr:uid="{00000000-0005-0000-0000-0000CC130000}"/>
    <cellStyle name="스타일 185" xfId="5077" xr:uid="{00000000-0005-0000-0000-0000CD130000}"/>
    <cellStyle name="스타일 186" xfId="5078" xr:uid="{00000000-0005-0000-0000-0000CE130000}"/>
    <cellStyle name="스타일 187" xfId="5079" xr:uid="{00000000-0005-0000-0000-0000CF130000}"/>
    <cellStyle name="스타일 188" xfId="5080" xr:uid="{00000000-0005-0000-0000-0000D0130000}"/>
    <cellStyle name="스타일 189" xfId="5081" xr:uid="{00000000-0005-0000-0000-0000D1130000}"/>
    <cellStyle name="스타일 19" xfId="5082" xr:uid="{00000000-0005-0000-0000-0000D2130000}"/>
    <cellStyle name="스타일 190" xfId="5083" xr:uid="{00000000-0005-0000-0000-0000D3130000}"/>
    <cellStyle name="스타일 191" xfId="5084" xr:uid="{00000000-0005-0000-0000-0000D4130000}"/>
    <cellStyle name="스타일 192" xfId="5085" xr:uid="{00000000-0005-0000-0000-0000D5130000}"/>
    <cellStyle name="스타일 193" xfId="5086" xr:uid="{00000000-0005-0000-0000-0000D6130000}"/>
    <cellStyle name="스타일 194" xfId="5087" xr:uid="{00000000-0005-0000-0000-0000D7130000}"/>
    <cellStyle name="스타일 195" xfId="5088" xr:uid="{00000000-0005-0000-0000-0000D8130000}"/>
    <cellStyle name="스타일 196" xfId="5089" xr:uid="{00000000-0005-0000-0000-0000D9130000}"/>
    <cellStyle name="스타일 197" xfId="5090" xr:uid="{00000000-0005-0000-0000-0000DA130000}"/>
    <cellStyle name="스타일 198" xfId="5091" xr:uid="{00000000-0005-0000-0000-0000DB130000}"/>
    <cellStyle name="스타일 199" xfId="5092" xr:uid="{00000000-0005-0000-0000-0000DC130000}"/>
    <cellStyle name="스타일 2" xfId="5093" xr:uid="{00000000-0005-0000-0000-0000DD130000}"/>
    <cellStyle name="스타일 2 2" xfId="5094" xr:uid="{00000000-0005-0000-0000-0000DE130000}"/>
    <cellStyle name="스타일 20" xfId="5095" xr:uid="{00000000-0005-0000-0000-0000DF130000}"/>
    <cellStyle name="스타일 200" xfId="5096" xr:uid="{00000000-0005-0000-0000-0000E0130000}"/>
    <cellStyle name="스타일 201" xfId="5097" xr:uid="{00000000-0005-0000-0000-0000E1130000}"/>
    <cellStyle name="스타일 202" xfId="5098" xr:uid="{00000000-0005-0000-0000-0000E2130000}"/>
    <cellStyle name="스타일 203" xfId="5099" xr:uid="{00000000-0005-0000-0000-0000E3130000}"/>
    <cellStyle name="스타일 204" xfId="5100" xr:uid="{00000000-0005-0000-0000-0000E4130000}"/>
    <cellStyle name="스타일 205" xfId="5101" xr:uid="{00000000-0005-0000-0000-0000E5130000}"/>
    <cellStyle name="스타일 206" xfId="5102" xr:uid="{00000000-0005-0000-0000-0000E6130000}"/>
    <cellStyle name="스타일 207" xfId="5103" xr:uid="{00000000-0005-0000-0000-0000E7130000}"/>
    <cellStyle name="스타일 208" xfId="5104" xr:uid="{00000000-0005-0000-0000-0000E8130000}"/>
    <cellStyle name="스타일 209" xfId="5105" xr:uid="{00000000-0005-0000-0000-0000E9130000}"/>
    <cellStyle name="스타일 21" xfId="5106" xr:uid="{00000000-0005-0000-0000-0000EA130000}"/>
    <cellStyle name="스타일 210" xfId="5107" xr:uid="{00000000-0005-0000-0000-0000EB130000}"/>
    <cellStyle name="스타일 211" xfId="5108" xr:uid="{00000000-0005-0000-0000-0000EC130000}"/>
    <cellStyle name="스타일 212" xfId="5109" xr:uid="{00000000-0005-0000-0000-0000ED130000}"/>
    <cellStyle name="스타일 213" xfId="5110" xr:uid="{00000000-0005-0000-0000-0000EE130000}"/>
    <cellStyle name="스타일 214" xfId="5111" xr:uid="{00000000-0005-0000-0000-0000EF130000}"/>
    <cellStyle name="스타일 215" xfId="5112" xr:uid="{00000000-0005-0000-0000-0000F0130000}"/>
    <cellStyle name="스타일 216" xfId="5113" xr:uid="{00000000-0005-0000-0000-0000F1130000}"/>
    <cellStyle name="스타일 217" xfId="5114" xr:uid="{00000000-0005-0000-0000-0000F2130000}"/>
    <cellStyle name="스타일 218" xfId="5115" xr:uid="{00000000-0005-0000-0000-0000F3130000}"/>
    <cellStyle name="스타일 219" xfId="5116" xr:uid="{00000000-0005-0000-0000-0000F4130000}"/>
    <cellStyle name="스타일 22" xfId="5117" xr:uid="{00000000-0005-0000-0000-0000F5130000}"/>
    <cellStyle name="스타일 220" xfId="5118" xr:uid="{00000000-0005-0000-0000-0000F6130000}"/>
    <cellStyle name="스타일 221" xfId="5119" xr:uid="{00000000-0005-0000-0000-0000F7130000}"/>
    <cellStyle name="스타일 222" xfId="5120" xr:uid="{00000000-0005-0000-0000-0000F8130000}"/>
    <cellStyle name="스타일 223" xfId="5121" xr:uid="{00000000-0005-0000-0000-0000F9130000}"/>
    <cellStyle name="스타일 224" xfId="5122" xr:uid="{00000000-0005-0000-0000-0000FA130000}"/>
    <cellStyle name="스타일 225" xfId="5123" xr:uid="{00000000-0005-0000-0000-0000FB130000}"/>
    <cellStyle name="스타일 226" xfId="5124" xr:uid="{00000000-0005-0000-0000-0000FC130000}"/>
    <cellStyle name="스타일 227" xfId="5125" xr:uid="{00000000-0005-0000-0000-0000FD130000}"/>
    <cellStyle name="스타일 228" xfId="5126" xr:uid="{00000000-0005-0000-0000-0000FE130000}"/>
    <cellStyle name="스타일 229" xfId="5127" xr:uid="{00000000-0005-0000-0000-0000FF130000}"/>
    <cellStyle name="스타일 23" xfId="5128" xr:uid="{00000000-0005-0000-0000-000000140000}"/>
    <cellStyle name="스타일 230" xfId="5129" xr:uid="{00000000-0005-0000-0000-000001140000}"/>
    <cellStyle name="스타일 231" xfId="5130" xr:uid="{00000000-0005-0000-0000-000002140000}"/>
    <cellStyle name="스타일 232" xfId="5131" xr:uid="{00000000-0005-0000-0000-000003140000}"/>
    <cellStyle name="스타일 233" xfId="5132" xr:uid="{00000000-0005-0000-0000-000004140000}"/>
    <cellStyle name="스타일 234" xfId="5133" xr:uid="{00000000-0005-0000-0000-000005140000}"/>
    <cellStyle name="스타일 235" xfId="5134" xr:uid="{00000000-0005-0000-0000-000006140000}"/>
    <cellStyle name="스타일 236" xfId="5135" xr:uid="{00000000-0005-0000-0000-000007140000}"/>
    <cellStyle name="스타일 237" xfId="5136" xr:uid="{00000000-0005-0000-0000-000008140000}"/>
    <cellStyle name="스타일 238" xfId="5137" xr:uid="{00000000-0005-0000-0000-000009140000}"/>
    <cellStyle name="스타일 239" xfId="5138" xr:uid="{00000000-0005-0000-0000-00000A140000}"/>
    <cellStyle name="스타일 24" xfId="5139" xr:uid="{00000000-0005-0000-0000-00000B140000}"/>
    <cellStyle name="스타일 240" xfId="5140" xr:uid="{00000000-0005-0000-0000-00000C140000}"/>
    <cellStyle name="스타일 241" xfId="5141" xr:uid="{00000000-0005-0000-0000-00000D140000}"/>
    <cellStyle name="스타일 242" xfId="5142" xr:uid="{00000000-0005-0000-0000-00000E140000}"/>
    <cellStyle name="스타일 243" xfId="5143" xr:uid="{00000000-0005-0000-0000-00000F140000}"/>
    <cellStyle name="스타일 244" xfId="5144" xr:uid="{00000000-0005-0000-0000-000010140000}"/>
    <cellStyle name="스타일 245" xfId="5145" xr:uid="{00000000-0005-0000-0000-000011140000}"/>
    <cellStyle name="스타일 246" xfId="5146" xr:uid="{00000000-0005-0000-0000-000012140000}"/>
    <cellStyle name="스타일 247" xfId="5147" xr:uid="{00000000-0005-0000-0000-000013140000}"/>
    <cellStyle name="스타일 248" xfId="5148" xr:uid="{00000000-0005-0000-0000-000014140000}"/>
    <cellStyle name="스타일 249" xfId="5149" xr:uid="{00000000-0005-0000-0000-000015140000}"/>
    <cellStyle name="스타일 25" xfId="5150" xr:uid="{00000000-0005-0000-0000-000016140000}"/>
    <cellStyle name="스타일 250" xfId="5151" xr:uid="{00000000-0005-0000-0000-000017140000}"/>
    <cellStyle name="스타일 251" xfId="5152" xr:uid="{00000000-0005-0000-0000-000018140000}"/>
    <cellStyle name="스타일 252" xfId="5153" xr:uid="{00000000-0005-0000-0000-000019140000}"/>
    <cellStyle name="스타일 253" xfId="5154" xr:uid="{00000000-0005-0000-0000-00001A140000}"/>
    <cellStyle name="스타일 254" xfId="5155" xr:uid="{00000000-0005-0000-0000-00001B140000}"/>
    <cellStyle name="스타일 255" xfId="5156" xr:uid="{00000000-0005-0000-0000-00001C140000}"/>
    <cellStyle name="스타일 26" xfId="5157" xr:uid="{00000000-0005-0000-0000-00001D140000}"/>
    <cellStyle name="스타일 27" xfId="5158" xr:uid="{00000000-0005-0000-0000-00001E140000}"/>
    <cellStyle name="스타일 28" xfId="5159" xr:uid="{00000000-0005-0000-0000-00001F140000}"/>
    <cellStyle name="스타일 29" xfId="5160" xr:uid="{00000000-0005-0000-0000-000020140000}"/>
    <cellStyle name="스타일 3" xfId="5161" xr:uid="{00000000-0005-0000-0000-000021140000}"/>
    <cellStyle name="스타일 30" xfId="5162" xr:uid="{00000000-0005-0000-0000-000022140000}"/>
    <cellStyle name="스타일 31" xfId="5163" xr:uid="{00000000-0005-0000-0000-000023140000}"/>
    <cellStyle name="스타일 32" xfId="5164" xr:uid="{00000000-0005-0000-0000-000024140000}"/>
    <cellStyle name="스타일 33" xfId="5165" xr:uid="{00000000-0005-0000-0000-000025140000}"/>
    <cellStyle name="스타일 34" xfId="5166" xr:uid="{00000000-0005-0000-0000-000026140000}"/>
    <cellStyle name="스타일 35" xfId="5167" xr:uid="{00000000-0005-0000-0000-000027140000}"/>
    <cellStyle name="스타일 36" xfId="5168" xr:uid="{00000000-0005-0000-0000-000028140000}"/>
    <cellStyle name="스타일 37" xfId="5169" xr:uid="{00000000-0005-0000-0000-000029140000}"/>
    <cellStyle name="스타일 38" xfId="5170" xr:uid="{00000000-0005-0000-0000-00002A140000}"/>
    <cellStyle name="스타일 39" xfId="5171" xr:uid="{00000000-0005-0000-0000-00002B140000}"/>
    <cellStyle name="스타일 4" xfId="5172" xr:uid="{00000000-0005-0000-0000-00002C140000}"/>
    <cellStyle name="스타일 4 2" xfId="5173" xr:uid="{00000000-0005-0000-0000-00002D140000}"/>
    <cellStyle name="스타일 40" xfId="5174" xr:uid="{00000000-0005-0000-0000-00002E140000}"/>
    <cellStyle name="스타일 41" xfId="5175" xr:uid="{00000000-0005-0000-0000-00002F140000}"/>
    <cellStyle name="스타일 42" xfId="5176" xr:uid="{00000000-0005-0000-0000-000030140000}"/>
    <cellStyle name="스타일 43" xfId="5177" xr:uid="{00000000-0005-0000-0000-000031140000}"/>
    <cellStyle name="스타일 44" xfId="5178" xr:uid="{00000000-0005-0000-0000-000032140000}"/>
    <cellStyle name="스타일 45" xfId="5179" xr:uid="{00000000-0005-0000-0000-000033140000}"/>
    <cellStyle name="스타일 46" xfId="5180" xr:uid="{00000000-0005-0000-0000-000034140000}"/>
    <cellStyle name="스타일 47" xfId="5181" xr:uid="{00000000-0005-0000-0000-000035140000}"/>
    <cellStyle name="스타일 48" xfId="5182" xr:uid="{00000000-0005-0000-0000-000036140000}"/>
    <cellStyle name="스타일 49" xfId="5183" xr:uid="{00000000-0005-0000-0000-000037140000}"/>
    <cellStyle name="스타일 5" xfId="5184" xr:uid="{00000000-0005-0000-0000-000038140000}"/>
    <cellStyle name="스타일 50" xfId="5185" xr:uid="{00000000-0005-0000-0000-000039140000}"/>
    <cellStyle name="스타일 51" xfId="5186" xr:uid="{00000000-0005-0000-0000-00003A140000}"/>
    <cellStyle name="스타일 52" xfId="5187" xr:uid="{00000000-0005-0000-0000-00003B140000}"/>
    <cellStyle name="스타일 53" xfId="5188" xr:uid="{00000000-0005-0000-0000-00003C140000}"/>
    <cellStyle name="스타일 54" xfId="5189" xr:uid="{00000000-0005-0000-0000-00003D140000}"/>
    <cellStyle name="스타일 55" xfId="5190" xr:uid="{00000000-0005-0000-0000-00003E140000}"/>
    <cellStyle name="스타일 56" xfId="5191" xr:uid="{00000000-0005-0000-0000-00003F140000}"/>
    <cellStyle name="스타일 57" xfId="5192" xr:uid="{00000000-0005-0000-0000-000040140000}"/>
    <cellStyle name="스타일 58" xfId="5193" xr:uid="{00000000-0005-0000-0000-000041140000}"/>
    <cellStyle name="스타일 59" xfId="5194" xr:uid="{00000000-0005-0000-0000-000042140000}"/>
    <cellStyle name="스타일 6" xfId="5195" xr:uid="{00000000-0005-0000-0000-000043140000}"/>
    <cellStyle name="스타일 60" xfId="5196" xr:uid="{00000000-0005-0000-0000-000044140000}"/>
    <cellStyle name="스타일 61" xfId="5197" xr:uid="{00000000-0005-0000-0000-000045140000}"/>
    <cellStyle name="스타일 62" xfId="5198" xr:uid="{00000000-0005-0000-0000-000046140000}"/>
    <cellStyle name="스타일 63" xfId="5199" xr:uid="{00000000-0005-0000-0000-000047140000}"/>
    <cellStyle name="스타일 64" xfId="5200" xr:uid="{00000000-0005-0000-0000-000048140000}"/>
    <cellStyle name="스타일 65" xfId="5201" xr:uid="{00000000-0005-0000-0000-000049140000}"/>
    <cellStyle name="스타일 66" xfId="5202" xr:uid="{00000000-0005-0000-0000-00004A140000}"/>
    <cellStyle name="스타일 67" xfId="5203" xr:uid="{00000000-0005-0000-0000-00004B140000}"/>
    <cellStyle name="스타일 68" xfId="5204" xr:uid="{00000000-0005-0000-0000-00004C140000}"/>
    <cellStyle name="스타일 69" xfId="5205" xr:uid="{00000000-0005-0000-0000-00004D140000}"/>
    <cellStyle name="스타일 7" xfId="5206" xr:uid="{00000000-0005-0000-0000-00004E140000}"/>
    <cellStyle name="스타일 70" xfId="5207" xr:uid="{00000000-0005-0000-0000-00004F140000}"/>
    <cellStyle name="스타일 71" xfId="5208" xr:uid="{00000000-0005-0000-0000-000050140000}"/>
    <cellStyle name="스타일 72" xfId="5209" xr:uid="{00000000-0005-0000-0000-000051140000}"/>
    <cellStyle name="스타일 73" xfId="5210" xr:uid="{00000000-0005-0000-0000-000052140000}"/>
    <cellStyle name="스타일 74" xfId="5211" xr:uid="{00000000-0005-0000-0000-000053140000}"/>
    <cellStyle name="스타일 75" xfId="5212" xr:uid="{00000000-0005-0000-0000-000054140000}"/>
    <cellStyle name="스타일 76" xfId="5213" xr:uid="{00000000-0005-0000-0000-000055140000}"/>
    <cellStyle name="스타일 77" xfId="5214" xr:uid="{00000000-0005-0000-0000-000056140000}"/>
    <cellStyle name="스타일 78" xfId="5215" xr:uid="{00000000-0005-0000-0000-000057140000}"/>
    <cellStyle name="스타일 79" xfId="5216" xr:uid="{00000000-0005-0000-0000-000058140000}"/>
    <cellStyle name="스타일 8" xfId="5217" xr:uid="{00000000-0005-0000-0000-000059140000}"/>
    <cellStyle name="스타일 80" xfId="5218" xr:uid="{00000000-0005-0000-0000-00005A140000}"/>
    <cellStyle name="스타일 81" xfId="5219" xr:uid="{00000000-0005-0000-0000-00005B140000}"/>
    <cellStyle name="스타일 82" xfId="5220" xr:uid="{00000000-0005-0000-0000-00005C140000}"/>
    <cellStyle name="스타일 83" xfId="5221" xr:uid="{00000000-0005-0000-0000-00005D140000}"/>
    <cellStyle name="스타일 84" xfId="5222" xr:uid="{00000000-0005-0000-0000-00005E140000}"/>
    <cellStyle name="스타일 85" xfId="5223" xr:uid="{00000000-0005-0000-0000-00005F140000}"/>
    <cellStyle name="스타일 86" xfId="5224" xr:uid="{00000000-0005-0000-0000-000060140000}"/>
    <cellStyle name="스타일 87" xfId="5225" xr:uid="{00000000-0005-0000-0000-000061140000}"/>
    <cellStyle name="스타일 88" xfId="5226" xr:uid="{00000000-0005-0000-0000-000062140000}"/>
    <cellStyle name="스타일 89" xfId="5227" xr:uid="{00000000-0005-0000-0000-000063140000}"/>
    <cellStyle name="스타일 9" xfId="5228" xr:uid="{00000000-0005-0000-0000-000064140000}"/>
    <cellStyle name="스타일 90" xfId="5229" xr:uid="{00000000-0005-0000-0000-000065140000}"/>
    <cellStyle name="스타일 91" xfId="5230" xr:uid="{00000000-0005-0000-0000-000066140000}"/>
    <cellStyle name="스타일 92" xfId="5231" xr:uid="{00000000-0005-0000-0000-000067140000}"/>
    <cellStyle name="스타일 93" xfId="5232" xr:uid="{00000000-0005-0000-0000-000068140000}"/>
    <cellStyle name="스타일 94" xfId="5233" xr:uid="{00000000-0005-0000-0000-000069140000}"/>
    <cellStyle name="스타일 95" xfId="5234" xr:uid="{00000000-0005-0000-0000-00006A140000}"/>
    <cellStyle name="스타일 96" xfId="5235" xr:uid="{00000000-0005-0000-0000-00006B140000}"/>
    <cellStyle name="스타일 97" xfId="5236" xr:uid="{00000000-0005-0000-0000-00006C140000}"/>
    <cellStyle name="스타일 98" xfId="5237" xr:uid="{00000000-0005-0000-0000-00006D140000}"/>
    <cellStyle name="스타일 99" xfId="5238" xr:uid="{00000000-0005-0000-0000-00006E140000}"/>
    <cellStyle name="안건회계법인" xfId="5239" xr:uid="{00000000-0005-0000-0000-00006F140000}"/>
    <cellStyle name="연결된 셀 2" xfId="5240" xr:uid="{00000000-0005-0000-0000-000070140000}"/>
    <cellStyle name="옛체" xfId="5241" xr:uid="{00000000-0005-0000-0000-000071140000}"/>
    <cellStyle name="왼쪽2" xfId="5242" xr:uid="{00000000-0005-0000-0000-000072140000}"/>
    <cellStyle name="요약 2" xfId="5243" xr:uid="{00000000-0005-0000-0000-000073140000}"/>
    <cellStyle name="원" xfId="5244" xr:uid="{00000000-0005-0000-0000-000074140000}"/>
    <cellStyle name="원_02대여금" xfId="5245" xr:uid="{00000000-0005-0000-0000-000075140000}"/>
    <cellStyle name="원_02투자" xfId="5246" xr:uid="{00000000-0005-0000-0000-000076140000}"/>
    <cellStyle name="원_02투자및대여금종합" xfId="5247" xr:uid="{00000000-0005-0000-0000-000077140000}"/>
    <cellStyle name="원_NCF6BB2F" xfId="5248" xr:uid="{00000000-0005-0000-0000-000078140000}"/>
    <cellStyle name="원_남양주무궁화공정표(03.08.22)" xfId="5249" xr:uid="{00000000-0005-0000-0000-000079140000}"/>
    <cellStyle name="원_토목투찰(대림)" xfId="5250" xr:uid="{00000000-0005-0000-0000-00007A140000}"/>
    <cellStyle name="원_토목투찰(대림)_BID1" xfId="5251" xr:uid="{00000000-0005-0000-0000-00007B140000}"/>
    <cellStyle name="원_환경1팀수주최종본" xfId="5252" xr:uid="{00000000-0005-0000-0000-00007C140000}"/>
    <cellStyle name="유1" xfId="5253" xr:uid="{00000000-0005-0000-0000-00007D140000}"/>
    <cellStyle name="一般_GARMENT STEP FORM HK" xfId="5254" xr:uid="{00000000-0005-0000-0000-00007E140000}"/>
    <cellStyle name="일위대가" xfId="5255" xr:uid="{00000000-0005-0000-0000-00007F140000}"/>
    <cellStyle name="입력 2" xfId="5256" xr:uid="{00000000-0005-0000-0000-000080140000}"/>
    <cellStyle name="자리수" xfId="5257" xr:uid="{00000000-0005-0000-0000-000081140000}"/>
    <cellStyle name="자리수 - 유형1" xfId="5258" xr:uid="{00000000-0005-0000-0000-000082140000}"/>
    <cellStyle name="자리수 10" xfId="5259" xr:uid="{00000000-0005-0000-0000-000083140000}"/>
    <cellStyle name="자리수 11" xfId="5260" xr:uid="{00000000-0005-0000-0000-000084140000}"/>
    <cellStyle name="자리수 12" xfId="5261" xr:uid="{00000000-0005-0000-0000-000085140000}"/>
    <cellStyle name="자리수 13" xfId="5262" xr:uid="{00000000-0005-0000-0000-000086140000}"/>
    <cellStyle name="자리수 14" xfId="5263" xr:uid="{00000000-0005-0000-0000-000087140000}"/>
    <cellStyle name="자리수 15" xfId="5264" xr:uid="{00000000-0005-0000-0000-000088140000}"/>
    <cellStyle name="자리수 16" xfId="5265" xr:uid="{00000000-0005-0000-0000-000089140000}"/>
    <cellStyle name="자리수 17" xfId="5266" xr:uid="{00000000-0005-0000-0000-00008A140000}"/>
    <cellStyle name="자리수 18" xfId="5267" xr:uid="{00000000-0005-0000-0000-00008B140000}"/>
    <cellStyle name="자리수 19" xfId="5268" xr:uid="{00000000-0005-0000-0000-00008C140000}"/>
    <cellStyle name="자리수 2" xfId="5269" xr:uid="{00000000-0005-0000-0000-00008D140000}"/>
    <cellStyle name="자리수 20" xfId="5270" xr:uid="{00000000-0005-0000-0000-00008E140000}"/>
    <cellStyle name="자리수 21" xfId="5271" xr:uid="{00000000-0005-0000-0000-00008F140000}"/>
    <cellStyle name="자리수 22" xfId="5272" xr:uid="{00000000-0005-0000-0000-000090140000}"/>
    <cellStyle name="자리수 23" xfId="5273" xr:uid="{00000000-0005-0000-0000-000091140000}"/>
    <cellStyle name="자리수 24" xfId="5274" xr:uid="{00000000-0005-0000-0000-000092140000}"/>
    <cellStyle name="자리수 25" xfId="5275" xr:uid="{00000000-0005-0000-0000-000093140000}"/>
    <cellStyle name="자리수 26" xfId="5276" xr:uid="{00000000-0005-0000-0000-000094140000}"/>
    <cellStyle name="자리수 27" xfId="5277" xr:uid="{00000000-0005-0000-0000-000095140000}"/>
    <cellStyle name="자리수 28" xfId="5278" xr:uid="{00000000-0005-0000-0000-000096140000}"/>
    <cellStyle name="자리수 29" xfId="5279" xr:uid="{00000000-0005-0000-0000-000097140000}"/>
    <cellStyle name="자리수 3" xfId="5280" xr:uid="{00000000-0005-0000-0000-000098140000}"/>
    <cellStyle name="자리수 30" xfId="5281" xr:uid="{00000000-0005-0000-0000-000099140000}"/>
    <cellStyle name="자리수 31" xfId="5282" xr:uid="{00000000-0005-0000-0000-00009A140000}"/>
    <cellStyle name="자리수 32" xfId="5283" xr:uid="{00000000-0005-0000-0000-00009B140000}"/>
    <cellStyle name="자리수 33" xfId="5284" xr:uid="{00000000-0005-0000-0000-00009C140000}"/>
    <cellStyle name="자리수 34" xfId="5285" xr:uid="{00000000-0005-0000-0000-00009D140000}"/>
    <cellStyle name="자리수 35" xfId="5286" xr:uid="{00000000-0005-0000-0000-00009E140000}"/>
    <cellStyle name="자리수 36" xfId="5287" xr:uid="{00000000-0005-0000-0000-00009F140000}"/>
    <cellStyle name="자리수 37" xfId="5288" xr:uid="{00000000-0005-0000-0000-0000A0140000}"/>
    <cellStyle name="자리수 38" xfId="5289" xr:uid="{00000000-0005-0000-0000-0000A1140000}"/>
    <cellStyle name="자리수 39" xfId="5290" xr:uid="{00000000-0005-0000-0000-0000A2140000}"/>
    <cellStyle name="자리수 4" xfId="5291" xr:uid="{00000000-0005-0000-0000-0000A3140000}"/>
    <cellStyle name="자리수 40" xfId="5292" xr:uid="{00000000-0005-0000-0000-0000A4140000}"/>
    <cellStyle name="자리수 41" xfId="5293" xr:uid="{00000000-0005-0000-0000-0000A5140000}"/>
    <cellStyle name="자리수 42" xfId="5294" xr:uid="{00000000-0005-0000-0000-0000A6140000}"/>
    <cellStyle name="자리수 43" xfId="5295" xr:uid="{00000000-0005-0000-0000-0000A7140000}"/>
    <cellStyle name="자리수 44" xfId="5296" xr:uid="{00000000-0005-0000-0000-0000A8140000}"/>
    <cellStyle name="자리수 45" xfId="5297" xr:uid="{00000000-0005-0000-0000-0000A9140000}"/>
    <cellStyle name="자리수 46" xfId="5298" xr:uid="{00000000-0005-0000-0000-0000AA140000}"/>
    <cellStyle name="자리수 47" xfId="5299" xr:uid="{00000000-0005-0000-0000-0000AB140000}"/>
    <cellStyle name="자리수 48" xfId="5300" xr:uid="{00000000-0005-0000-0000-0000AC140000}"/>
    <cellStyle name="자리수 49" xfId="5301" xr:uid="{00000000-0005-0000-0000-0000AD140000}"/>
    <cellStyle name="자리수 5" xfId="5302" xr:uid="{00000000-0005-0000-0000-0000AE140000}"/>
    <cellStyle name="자리수 50" xfId="5303" xr:uid="{00000000-0005-0000-0000-0000AF140000}"/>
    <cellStyle name="자리수 51" xfId="5304" xr:uid="{00000000-0005-0000-0000-0000B0140000}"/>
    <cellStyle name="자리수 52" xfId="5305" xr:uid="{00000000-0005-0000-0000-0000B1140000}"/>
    <cellStyle name="자리수 53" xfId="5306" xr:uid="{00000000-0005-0000-0000-0000B2140000}"/>
    <cellStyle name="자리수 54" xfId="5307" xr:uid="{00000000-0005-0000-0000-0000B3140000}"/>
    <cellStyle name="자리수 55" xfId="5308" xr:uid="{00000000-0005-0000-0000-0000B4140000}"/>
    <cellStyle name="자리수 56" xfId="5309" xr:uid="{00000000-0005-0000-0000-0000B5140000}"/>
    <cellStyle name="자리수 57" xfId="5310" xr:uid="{00000000-0005-0000-0000-0000B6140000}"/>
    <cellStyle name="자리수 6" xfId="5311" xr:uid="{00000000-0005-0000-0000-0000B7140000}"/>
    <cellStyle name="자리수 7" xfId="5312" xr:uid="{00000000-0005-0000-0000-0000B8140000}"/>
    <cellStyle name="자리수 8" xfId="5313" xr:uid="{00000000-0005-0000-0000-0000B9140000}"/>
    <cellStyle name="자리수 9" xfId="5314" xr:uid="{00000000-0005-0000-0000-0000BA140000}"/>
    <cellStyle name="자리수_0429-삼성화재일산사옥수장공사(rami)" xfId="5315" xr:uid="{00000000-0005-0000-0000-0000BB140000}"/>
    <cellStyle name="자리수0" xfId="5316" xr:uid="{00000000-0005-0000-0000-0000BC140000}"/>
    <cellStyle name="자리수0 2" xfId="5317" xr:uid="{00000000-0005-0000-0000-0000BD140000}"/>
    <cellStyle name="자리수0 3" xfId="5318" xr:uid="{00000000-0005-0000-0000-0000BE140000}"/>
    <cellStyle name="자리수0 4" xfId="5319" xr:uid="{00000000-0005-0000-0000-0000BF140000}"/>
    <cellStyle name="자리수0 5" xfId="5320" xr:uid="{00000000-0005-0000-0000-0000C0140000}"/>
    <cellStyle name="자리수0 6" xfId="5321" xr:uid="{00000000-0005-0000-0000-0000C1140000}"/>
    <cellStyle name="자리수0_코엑스점_BOBBI BROWN_매장공사_세부내역서" xfId="5322" xr:uid="{00000000-0005-0000-0000-0000C2140000}"/>
    <cellStyle name="전" xfId="5323" xr:uid="{00000000-0005-0000-0000-0000C3140000}"/>
    <cellStyle name="전_신세계 백화점 (강남점) GUCCI" xfId="5324" xr:uid="{00000000-0005-0000-0000-0000C4140000}"/>
    <cellStyle name="제목 1 2" xfId="5325" xr:uid="{00000000-0005-0000-0000-0000C5140000}"/>
    <cellStyle name="제목 1(左)" xfId="5326" xr:uid="{00000000-0005-0000-0000-0000C6140000}"/>
    <cellStyle name="제목 1(中)" xfId="5327" xr:uid="{00000000-0005-0000-0000-0000C7140000}"/>
    <cellStyle name="제목 2 2" xfId="5328" xr:uid="{00000000-0005-0000-0000-0000C8140000}"/>
    <cellStyle name="제목 3 2" xfId="5329" xr:uid="{00000000-0005-0000-0000-0000C9140000}"/>
    <cellStyle name="제목 4 2" xfId="5330" xr:uid="{00000000-0005-0000-0000-0000CA140000}"/>
    <cellStyle name="제목 5" xfId="5331" xr:uid="{00000000-0005-0000-0000-0000CB140000}"/>
    <cellStyle name="제목[1 줄]" xfId="5332" xr:uid="{00000000-0005-0000-0000-0000CC140000}"/>
    <cellStyle name="제목[2줄 아래]" xfId="5333" xr:uid="{00000000-0005-0000-0000-0000CD140000}"/>
    <cellStyle name="제목[2줄 위]" xfId="5334" xr:uid="{00000000-0005-0000-0000-0000CE140000}"/>
    <cellStyle name="제목1" xfId="5335" xr:uid="{00000000-0005-0000-0000-0000CF140000}"/>
    <cellStyle name="좋음 2" xfId="5336" xr:uid="{00000000-0005-0000-0000-0000D0140000}"/>
    <cellStyle name="지정되지 않음" xfId="5337" xr:uid="{00000000-0005-0000-0000-0000D1140000}"/>
    <cellStyle name="千分位[0]_GARMENT STEP FORM HK" xfId="5338" xr:uid="{00000000-0005-0000-0000-0000D2140000}"/>
    <cellStyle name="千分位_GARMENT STEP FORM HK" xfId="5339" xr:uid="{00000000-0005-0000-0000-0000D3140000}"/>
    <cellStyle name="출력 2" xfId="5340" xr:uid="{00000000-0005-0000-0000-0000D4140000}"/>
    <cellStyle name="콤" xfId="5341" xr:uid="{00000000-0005-0000-0000-0000D5140000}"/>
    <cellStyle name="콤_04028적산수량집계" xfId="5342" xr:uid="{00000000-0005-0000-0000-0000D6140000}"/>
    <cellStyle name="콤_BOOKCITY(전기)" xfId="5343" xr:uid="{00000000-0005-0000-0000-0000D7140000}"/>
    <cellStyle name="콤_BOOKCITY(전기)_04028적산수량집계" xfId="5344" xr:uid="{00000000-0005-0000-0000-0000D8140000}"/>
    <cellStyle name="콤_공설운동진입(가실행)" xfId="5345" xr:uid="{00000000-0005-0000-0000-0000D9140000}"/>
    <cellStyle name="콤_공설운동진입(가실행)_04028적산수량집계" xfId="5346" xr:uid="{00000000-0005-0000-0000-0000DA140000}"/>
    <cellStyle name="콤_공설운동진입(가실행)_BOOKCITY(전기)" xfId="5347" xr:uid="{00000000-0005-0000-0000-0000DB140000}"/>
    <cellStyle name="콤_공설운동진입(가실행)_BOOKCITY(전기)_04028적산수량집계" xfId="5348" xr:uid="{00000000-0005-0000-0000-0000DC140000}"/>
    <cellStyle name="콤_공설운동진입(가실행)_사본 - 파주 북시티(이채)" xfId="5349" xr:uid="{00000000-0005-0000-0000-0000DD140000}"/>
    <cellStyle name="콤_공설운동진입(가실행)_사본 - 파주 북시티(이채)_04028적산수량집계" xfId="5350" xr:uid="{00000000-0005-0000-0000-0000DE140000}"/>
    <cellStyle name="콤_공설운동진입(가실행)_파주 BOOK CITY(통보용)" xfId="5351" xr:uid="{00000000-0005-0000-0000-0000DF140000}"/>
    <cellStyle name="콤_공설운동진입(가실행)_파주 BOOK CITY(통보용)_04028적산수량집계" xfId="5352" xr:uid="{00000000-0005-0000-0000-0000E0140000}"/>
    <cellStyle name="콤_공설운동진입(가실행)_파주 BOOK CITY가실행내역" xfId="5353" xr:uid="{00000000-0005-0000-0000-0000E1140000}"/>
    <cellStyle name="콤_공설운동진입(가실행)_파주 BOOK CITY가실행내역_04028적산수량집계" xfId="5354" xr:uid="{00000000-0005-0000-0000-0000E2140000}"/>
    <cellStyle name="콤_공설운동진입(가실행)_파주 북시티(이채)제출" xfId="5355" xr:uid="{00000000-0005-0000-0000-0000E3140000}"/>
    <cellStyle name="콤_공설운동진입(가실행)_파주 북시티(이채)제출_04028적산수량집계" xfId="5356" xr:uid="{00000000-0005-0000-0000-0000E4140000}"/>
    <cellStyle name="콤_공설운동진입(가실행)_파주 북시티(전체)제출(변경전)" xfId="5357" xr:uid="{00000000-0005-0000-0000-0000E5140000}"/>
    <cellStyle name="콤_공설운동진입(가실행)_파주 북시티(전체)제출(변경전)_04028적산수량집계" xfId="5358" xr:uid="{00000000-0005-0000-0000-0000E6140000}"/>
    <cellStyle name="콤_사본 - 파주 북시티(이채)" xfId="5359" xr:uid="{00000000-0005-0000-0000-0000E7140000}"/>
    <cellStyle name="콤_사본 - 파주 북시티(이채)_04028적산수량집계" xfId="5360" xr:uid="{00000000-0005-0000-0000-0000E8140000}"/>
    <cellStyle name="콤_토목내역서" xfId="5361" xr:uid="{00000000-0005-0000-0000-0000E9140000}"/>
    <cellStyle name="콤_토목내역서_04028적산수량집계" xfId="5362" xr:uid="{00000000-0005-0000-0000-0000EA140000}"/>
    <cellStyle name="콤_토목내역서_BOOKCITY(전기)" xfId="5363" xr:uid="{00000000-0005-0000-0000-0000EB140000}"/>
    <cellStyle name="콤_토목내역서_BOOKCITY(전기)_04028적산수량집계" xfId="5364" xr:uid="{00000000-0005-0000-0000-0000EC140000}"/>
    <cellStyle name="콤_토목내역서_공설운동진입(가실행)" xfId="5365" xr:uid="{00000000-0005-0000-0000-0000ED140000}"/>
    <cellStyle name="콤_토목내역서_공설운동진입(가실행)_04028적산수량집계" xfId="5366" xr:uid="{00000000-0005-0000-0000-0000EE140000}"/>
    <cellStyle name="콤_토목내역서_공설운동진입(가실행)_BOOKCITY(전기)" xfId="5367" xr:uid="{00000000-0005-0000-0000-0000EF140000}"/>
    <cellStyle name="콤_토목내역서_공설운동진입(가실행)_BOOKCITY(전기)_04028적산수량집계" xfId="5368" xr:uid="{00000000-0005-0000-0000-0000F0140000}"/>
    <cellStyle name="콤_토목내역서_공설운동진입(가실행)_사본 - 파주 북시티(이채)" xfId="5369" xr:uid="{00000000-0005-0000-0000-0000F1140000}"/>
    <cellStyle name="콤_토목내역서_공설운동진입(가실행)_사본 - 파주 북시티(이채)_04028적산수량집계" xfId="5370" xr:uid="{00000000-0005-0000-0000-0000F2140000}"/>
    <cellStyle name="콤_토목내역서_공설운동진입(가실행)_파주 BOOK CITY(통보용)" xfId="5371" xr:uid="{00000000-0005-0000-0000-0000F3140000}"/>
    <cellStyle name="콤_토목내역서_공설운동진입(가실행)_파주 BOOK CITY(통보용)_04028적산수량집계" xfId="5372" xr:uid="{00000000-0005-0000-0000-0000F4140000}"/>
    <cellStyle name="콤_토목내역서_공설운동진입(가실행)_파주 BOOK CITY가실행내역" xfId="5373" xr:uid="{00000000-0005-0000-0000-0000F5140000}"/>
    <cellStyle name="콤_토목내역서_공설운동진입(가실행)_파주 BOOK CITY가실행내역_04028적산수량집계" xfId="5374" xr:uid="{00000000-0005-0000-0000-0000F6140000}"/>
    <cellStyle name="콤_토목내역서_공설운동진입(가실행)_파주 북시티(이채)제출" xfId="5375" xr:uid="{00000000-0005-0000-0000-0000F7140000}"/>
    <cellStyle name="콤_토목내역서_공설운동진입(가실행)_파주 북시티(이채)제출_04028적산수량집계" xfId="5376" xr:uid="{00000000-0005-0000-0000-0000F8140000}"/>
    <cellStyle name="콤_토목내역서_공설운동진입(가실행)_파주 북시티(전체)제출(변경전)" xfId="5377" xr:uid="{00000000-0005-0000-0000-0000F9140000}"/>
    <cellStyle name="콤_토목내역서_공설운동진입(가실행)_파주 북시티(전체)제출(변경전)_04028적산수량집계" xfId="5378" xr:uid="{00000000-0005-0000-0000-0000FA140000}"/>
    <cellStyle name="콤_토목내역서_사본 - 파주 북시티(이채)" xfId="5379" xr:uid="{00000000-0005-0000-0000-0000FB140000}"/>
    <cellStyle name="콤_토목내역서_사본 - 파주 북시티(이채)_04028적산수량집계" xfId="5380" xr:uid="{00000000-0005-0000-0000-0000FC140000}"/>
    <cellStyle name="콤_토목내역서_파주 BOOK CITY(통보용)" xfId="5381" xr:uid="{00000000-0005-0000-0000-0000FD140000}"/>
    <cellStyle name="콤_토목내역서_파주 BOOK CITY(통보용)_04028적산수량집계" xfId="5382" xr:uid="{00000000-0005-0000-0000-0000FE140000}"/>
    <cellStyle name="콤_토목내역서_파주 BOOK CITY가실행내역" xfId="5383" xr:uid="{00000000-0005-0000-0000-0000FF140000}"/>
    <cellStyle name="콤_토목내역서_파주 BOOK CITY가실행내역_04028적산수량집계" xfId="5384" xr:uid="{00000000-0005-0000-0000-000000150000}"/>
    <cellStyle name="콤_토목내역서_파주 북시티(이채)제출" xfId="5385" xr:uid="{00000000-0005-0000-0000-000001150000}"/>
    <cellStyle name="콤_토목내역서_파주 북시티(이채)제출_04028적산수량집계" xfId="5386" xr:uid="{00000000-0005-0000-0000-000002150000}"/>
    <cellStyle name="콤_토목내역서_파주 북시티(전체)제출(변경전)" xfId="5387" xr:uid="{00000000-0005-0000-0000-000003150000}"/>
    <cellStyle name="콤_토목내역서_파주 북시티(전체)제출(변경전)_04028적산수량집계" xfId="5388" xr:uid="{00000000-0005-0000-0000-000004150000}"/>
    <cellStyle name="콤_파주 BOOK CITY(통보용)" xfId="5389" xr:uid="{00000000-0005-0000-0000-000005150000}"/>
    <cellStyle name="콤_파주 BOOK CITY(통보용)_04028적산수량집계" xfId="5390" xr:uid="{00000000-0005-0000-0000-000006150000}"/>
    <cellStyle name="콤_파주 BOOK CITY가실행내역" xfId="5391" xr:uid="{00000000-0005-0000-0000-000007150000}"/>
    <cellStyle name="콤_파주 BOOK CITY가실행내역_04028적산수량집계" xfId="5392" xr:uid="{00000000-0005-0000-0000-000008150000}"/>
    <cellStyle name="콤_파주 북시티(이채)제출" xfId="5393" xr:uid="{00000000-0005-0000-0000-000009150000}"/>
    <cellStyle name="콤_파주 북시티(이채)제출_04028적산수량집계" xfId="5394" xr:uid="{00000000-0005-0000-0000-00000A150000}"/>
    <cellStyle name="콤_파주 북시티(전체)제출(변경전)" xfId="5395" xr:uid="{00000000-0005-0000-0000-00000B150000}"/>
    <cellStyle name="콤_파주 북시티(전체)제출(변경전)_04028적산수량집계" xfId="5396" xr:uid="{00000000-0005-0000-0000-00000C150000}"/>
    <cellStyle name="콤냡?&lt;_x000f_$??: `1_1 " xfId="5397" xr:uid="{00000000-0005-0000-0000-00000D150000}"/>
    <cellStyle name="콤마 [" xfId="5398" xr:uid="{00000000-0005-0000-0000-00000E150000}"/>
    <cellStyle name="콤마 [#]" xfId="5399" xr:uid="{00000000-0005-0000-0000-00000F150000}"/>
    <cellStyle name="콤마 []" xfId="5400" xr:uid="{00000000-0005-0000-0000-000010150000}"/>
    <cellStyle name="콤마 [0]" xfId="5401" xr:uid="{00000000-0005-0000-0000-000011150000}"/>
    <cellStyle name="콤마 [0] 2" xfId="5402" xr:uid="{00000000-0005-0000-0000-000012150000}"/>
    <cellStyle name="콤마 [0]_10' 0.26D MS" xfId="13" xr:uid="{00000000-0005-0000-0000-000013150000}"/>
    <cellStyle name="콤마 [0]기기자재비" xfId="5403" xr:uid="{00000000-0005-0000-0000-000014150000}"/>
    <cellStyle name="콤마 [2]" xfId="5404" xr:uid="{00000000-0005-0000-0000-000015150000}"/>
    <cellStyle name="콤마 [2] 2" xfId="5405" xr:uid="{00000000-0005-0000-0000-000016150000}"/>
    <cellStyle name="콤마 [금액]" xfId="5406" xr:uid="{00000000-0005-0000-0000-000017150000}"/>
    <cellStyle name="콤마 [소수]" xfId="5407" xr:uid="{00000000-0005-0000-0000-000018150000}"/>
    <cellStyle name="콤마 [소수] 2" xfId="5408" xr:uid="{00000000-0005-0000-0000-000019150000}"/>
    <cellStyle name="콤마 [수량]" xfId="5409" xr:uid="{00000000-0005-0000-0000-00001A150000}"/>
    <cellStyle name="콤마 [수량] 2" xfId="5410" xr:uid="{00000000-0005-0000-0000-00001B150000}"/>
    <cellStyle name="콤마[0]" xfId="5411" xr:uid="{00000000-0005-0000-0000-00001C150000}"/>
    <cellStyle name="콤마_  종  합  " xfId="5412" xr:uid="{00000000-0005-0000-0000-00001D150000}"/>
    <cellStyle name="콤마숫자" xfId="5413" xr:uid="{00000000-0005-0000-0000-00001E150000}"/>
    <cellStyle name="통" xfId="5414" xr:uid="{00000000-0005-0000-0000-00001F150000}"/>
    <cellStyle name="통_04028적산수량집계" xfId="5415" xr:uid="{00000000-0005-0000-0000-000020150000}"/>
    <cellStyle name="통_BOOKCITY(전기)" xfId="5416" xr:uid="{00000000-0005-0000-0000-000021150000}"/>
    <cellStyle name="통_BOOKCITY(전기)_04028적산수량집계" xfId="5417" xr:uid="{00000000-0005-0000-0000-000022150000}"/>
    <cellStyle name="통_공설운동진입(가실행)" xfId="5418" xr:uid="{00000000-0005-0000-0000-000023150000}"/>
    <cellStyle name="통_공설운동진입(가실행)_04028적산수량집계" xfId="5419" xr:uid="{00000000-0005-0000-0000-000024150000}"/>
    <cellStyle name="통_공설운동진입(가실행)_BOOKCITY(전기)" xfId="5420" xr:uid="{00000000-0005-0000-0000-000025150000}"/>
    <cellStyle name="통_공설운동진입(가실행)_BOOKCITY(전기)_04028적산수량집계" xfId="5421" xr:uid="{00000000-0005-0000-0000-000026150000}"/>
    <cellStyle name="통_공설운동진입(가실행)_사본 - 파주 북시티(이채)" xfId="5422" xr:uid="{00000000-0005-0000-0000-000027150000}"/>
    <cellStyle name="통_공설운동진입(가실행)_사본 - 파주 북시티(이채)_04028적산수량집계" xfId="5423" xr:uid="{00000000-0005-0000-0000-000028150000}"/>
    <cellStyle name="통_공설운동진입(가실행)_파주 BOOK CITY(통보용)" xfId="5424" xr:uid="{00000000-0005-0000-0000-000029150000}"/>
    <cellStyle name="통_공설운동진입(가실행)_파주 BOOK CITY(통보용)_04028적산수량집계" xfId="5425" xr:uid="{00000000-0005-0000-0000-00002A150000}"/>
    <cellStyle name="통_공설운동진입(가실행)_파주 BOOK CITY가실행내역" xfId="5426" xr:uid="{00000000-0005-0000-0000-00002B150000}"/>
    <cellStyle name="통_공설운동진입(가실행)_파주 BOOK CITY가실행내역_04028적산수량집계" xfId="5427" xr:uid="{00000000-0005-0000-0000-00002C150000}"/>
    <cellStyle name="통_공설운동진입(가실행)_파주 북시티(이채)제출" xfId="5428" xr:uid="{00000000-0005-0000-0000-00002D150000}"/>
    <cellStyle name="통_공설운동진입(가실행)_파주 북시티(이채)제출_04028적산수량집계" xfId="5429" xr:uid="{00000000-0005-0000-0000-00002E150000}"/>
    <cellStyle name="통_공설운동진입(가실행)_파주 북시티(전체)제출(변경전)" xfId="5430" xr:uid="{00000000-0005-0000-0000-00002F150000}"/>
    <cellStyle name="통_공설운동진입(가실행)_파주 북시티(전체)제출(변경전)_04028적산수량집계" xfId="5431" xr:uid="{00000000-0005-0000-0000-000030150000}"/>
    <cellStyle name="통_사본 - 파주 북시티(이채)" xfId="5432" xr:uid="{00000000-0005-0000-0000-000031150000}"/>
    <cellStyle name="통_사본 - 파주 북시티(이채)_04028적산수량집계" xfId="5433" xr:uid="{00000000-0005-0000-0000-000032150000}"/>
    <cellStyle name="통_토목내역서" xfId="5434" xr:uid="{00000000-0005-0000-0000-000033150000}"/>
    <cellStyle name="통_토목내역서_04028적산수량집계" xfId="5435" xr:uid="{00000000-0005-0000-0000-000034150000}"/>
    <cellStyle name="통_토목내역서_BOOKCITY(전기)" xfId="5436" xr:uid="{00000000-0005-0000-0000-000035150000}"/>
    <cellStyle name="통_토목내역서_BOOKCITY(전기)_04028적산수량집계" xfId="5437" xr:uid="{00000000-0005-0000-0000-000036150000}"/>
    <cellStyle name="통_토목내역서_공설운동진입(가실행)" xfId="5438" xr:uid="{00000000-0005-0000-0000-000037150000}"/>
    <cellStyle name="통_토목내역서_공설운동진입(가실행)_04028적산수량집계" xfId="5439" xr:uid="{00000000-0005-0000-0000-000038150000}"/>
    <cellStyle name="통_토목내역서_공설운동진입(가실행)_BOOKCITY(전기)" xfId="5440" xr:uid="{00000000-0005-0000-0000-000039150000}"/>
    <cellStyle name="통_토목내역서_공설운동진입(가실행)_BOOKCITY(전기)_04028적산수량집계" xfId="5441" xr:uid="{00000000-0005-0000-0000-00003A150000}"/>
    <cellStyle name="통_토목내역서_공설운동진입(가실행)_사본 - 파주 북시티(이채)" xfId="5442" xr:uid="{00000000-0005-0000-0000-00003B150000}"/>
    <cellStyle name="통_토목내역서_공설운동진입(가실행)_사본 - 파주 북시티(이채)_04028적산수량집계" xfId="5443" xr:uid="{00000000-0005-0000-0000-00003C150000}"/>
    <cellStyle name="통_토목내역서_공설운동진입(가실행)_파주 BOOK CITY(통보용)" xfId="5444" xr:uid="{00000000-0005-0000-0000-00003D150000}"/>
    <cellStyle name="통_토목내역서_공설운동진입(가실행)_파주 BOOK CITY(통보용)_04028적산수량집계" xfId="5445" xr:uid="{00000000-0005-0000-0000-00003E150000}"/>
    <cellStyle name="통_토목내역서_공설운동진입(가실행)_파주 BOOK CITY가실행내역" xfId="5446" xr:uid="{00000000-0005-0000-0000-00003F150000}"/>
    <cellStyle name="통_토목내역서_공설운동진입(가실행)_파주 BOOK CITY가실행내역_04028적산수량집계" xfId="5447" xr:uid="{00000000-0005-0000-0000-000040150000}"/>
    <cellStyle name="통_토목내역서_공설운동진입(가실행)_파주 북시티(이채)제출" xfId="5448" xr:uid="{00000000-0005-0000-0000-000041150000}"/>
    <cellStyle name="통_토목내역서_공설운동진입(가실행)_파주 북시티(이채)제출_04028적산수량집계" xfId="5449" xr:uid="{00000000-0005-0000-0000-000042150000}"/>
    <cellStyle name="통_토목내역서_공설운동진입(가실행)_파주 북시티(전체)제출(변경전)" xfId="5450" xr:uid="{00000000-0005-0000-0000-000043150000}"/>
    <cellStyle name="통_토목내역서_공설운동진입(가실행)_파주 북시티(전체)제출(변경전)_04028적산수량집계" xfId="5451" xr:uid="{00000000-0005-0000-0000-000044150000}"/>
    <cellStyle name="통_토목내역서_사본 - 파주 북시티(이채)" xfId="5452" xr:uid="{00000000-0005-0000-0000-000045150000}"/>
    <cellStyle name="통_토목내역서_사본 - 파주 북시티(이채)_04028적산수량집계" xfId="5453" xr:uid="{00000000-0005-0000-0000-000046150000}"/>
    <cellStyle name="통_토목내역서_파주 BOOK CITY(통보용)" xfId="5454" xr:uid="{00000000-0005-0000-0000-000047150000}"/>
    <cellStyle name="통_토목내역서_파주 BOOK CITY(통보용)_04028적산수량집계" xfId="5455" xr:uid="{00000000-0005-0000-0000-000048150000}"/>
    <cellStyle name="통_토목내역서_파주 BOOK CITY가실행내역" xfId="5456" xr:uid="{00000000-0005-0000-0000-000049150000}"/>
    <cellStyle name="통_토목내역서_파주 BOOK CITY가실행내역_04028적산수량집계" xfId="5457" xr:uid="{00000000-0005-0000-0000-00004A150000}"/>
    <cellStyle name="통_토목내역서_파주 북시티(이채)제출" xfId="5458" xr:uid="{00000000-0005-0000-0000-00004B150000}"/>
    <cellStyle name="통_토목내역서_파주 북시티(이채)제출_04028적산수량집계" xfId="5459" xr:uid="{00000000-0005-0000-0000-00004C150000}"/>
    <cellStyle name="통_토목내역서_파주 북시티(전체)제출(변경전)" xfId="5460" xr:uid="{00000000-0005-0000-0000-00004D150000}"/>
    <cellStyle name="통_토목내역서_파주 북시티(전체)제출(변경전)_04028적산수량집계" xfId="5461" xr:uid="{00000000-0005-0000-0000-00004E150000}"/>
    <cellStyle name="통_파주 BOOK CITY(통보용)" xfId="5462" xr:uid="{00000000-0005-0000-0000-00004F150000}"/>
    <cellStyle name="통_파주 BOOK CITY(통보용)_04028적산수량집계" xfId="5463" xr:uid="{00000000-0005-0000-0000-000050150000}"/>
    <cellStyle name="통_파주 BOOK CITY가실행내역" xfId="5464" xr:uid="{00000000-0005-0000-0000-000051150000}"/>
    <cellStyle name="통_파주 BOOK CITY가실행내역_04028적산수량집계" xfId="5465" xr:uid="{00000000-0005-0000-0000-000052150000}"/>
    <cellStyle name="통_파주 북시티(이채)제출" xfId="5466" xr:uid="{00000000-0005-0000-0000-000053150000}"/>
    <cellStyle name="통_파주 북시티(이채)제출_04028적산수량집계" xfId="5467" xr:uid="{00000000-0005-0000-0000-000054150000}"/>
    <cellStyle name="통_파주 북시티(전체)제출(변경전)" xfId="5468" xr:uid="{00000000-0005-0000-0000-000055150000}"/>
    <cellStyle name="통_파주 북시티(전체)제출(변경전)_04028적산수량집계" xfId="5469" xr:uid="{00000000-0005-0000-0000-000056150000}"/>
    <cellStyle name="통화 [" xfId="5470" xr:uid="{00000000-0005-0000-0000-000057150000}"/>
    <cellStyle name="通貨 [0.00]_laroux" xfId="5471" xr:uid="{00000000-0005-0000-0000-000058150000}"/>
    <cellStyle name="통화 [0] 2" xfId="2" xr:uid="{00000000-0005-0000-0000-000059150000}"/>
    <cellStyle name="통화 [0] 2 2" xfId="5472" xr:uid="{00000000-0005-0000-0000-00005A150000}"/>
    <cellStyle name="통화 [0] 2 3" xfId="5473" xr:uid="{00000000-0005-0000-0000-00005B150000}"/>
    <cellStyle name="통화 [0] 3" xfId="5474" xr:uid="{00000000-0005-0000-0000-00005C150000}"/>
    <cellStyle name="통화 [0] 4" xfId="5475" xr:uid="{00000000-0005-0000-0000-00005D150000}"/>
    <cellStyle name="通貨_laroux" xfId="5476" xr:uid="{00000000-0005-0000-0000-00005E150000}"/>
    <cellStyle name="퍼센트" xfId="5477" xr:uid="{00000000-0005-0000-0000-00005F150000}"/>
    <cellStyle name="퍼센트 2" xfId="5478" xr:uid="{00000000-0005-0000-0000-000060150000}"/>
    <cellStyle name="퍼센트 3" xfId="5479" xr:uid="{00000000-0005-0000-0000-000061150000}"/>
    <cellStyle name="퍼센트 4" xfId="5480" xr:uid="{00000000-0005-0000-0000-000062150000}"/>
    <cellStyle name="퍼센트 5" xfId="5481" xr:uid="{00000000-0005-0000-0000-000063150000}"/>
    <cellStyle name="퍼센트 6" xfId="5482" xr:uid="{00000000-0005-0000-0000-000064150000}"/>
    <cellStyle name="퍼센트_코엑스점_BOBBI BROWN_매장공사_세부내역서" xfId="5483" xr:uid="{00000000-0005-0000-0000-000065150000}"/>
    <cellStyle name="표" xfId="5484" xr:uid="{00000000-0005-0000-0000-000066150000}"/>
    <cellStyle name="표_04028적산수량집계" xfId="5485" xr:uid="{00000000-0005-0000-0000-000067150000}"/>
    <cellStyle name="표_BOOKCITY(전기)" xfId="5486" xr:uid="{00000000-0005-0000-0000-000068150000}"/>
    <cellStyle name="표_BOOKCITY(전기)_04028적산수량집계" xfId="5487" xr:uid="{00000000-0005-0000-0000-000069150000}"/>
    <cellStyle name="표_공설운동진입(가실행)" xfId="5488" xr:uid="{00000000-0005-0000-0000-00006A150000}"/>
    <cellStyle name="표_공설운동진입(가실행)_04028적산수량집계" xfId="5489" xr:uid="{00000000-0005-0000-0000-00006B150000}"/>
    <cellStyle name="표_공설운동진입(가실행)_BOOKCITY(전기)" xfId="5490" xr:uid="{00000000-0005-0000-0000-00006C150000}"/>
    <cellStyle name="표_공설운동진입(가실행)_BOOKCITY(전기)_04028적산수량집계" xfId="5491" xr:uid="{00000000-0005-0000-0000-00006D150000}"/>
    <cellStyle name="표_공설운동진입(가실행)_사본 - 파주 북시티(이채)" xfId="5492" xr:uid="{00000000-0005-0000-0000-00006E150000}"/>
    <cellStyle name="표_공설운동진입(가실행)_사본 - 파주 북시티(이채)_04028적산수량집계" xfId="5493" xr:uid="{00000000-0005-0000-0000-00006F150000}"/>
    <cellStyle name="표_공설운동진입(가실행)_파주 BOOK CITY(통보용)" xfId="5494" xr:uid="{00000000-0005-0000-0000-000070150000}"/>
    <cellStyle name="표_공설운동진입(가실행)_파주 BOOK CITY(통보용)_04028적산수량집계" xfId="5495" xr:uid="{00000000-0005-0000-0000-000071150000}"/>
    <cellStyle name="표_공설운동진입(가실행)_파주 BOOK CITY가실행내역" xfId="5496" xr:uid="{00000000-0005-0000-0000-000072150000}"/>
    <cellStyle name="표_공설운동진입(가실행)_파주 BOOK CITY가실행내역_04028적산수량집계" xfId="5497" xr:uid="{00000000-0005-0000-0000-000073150000}"/>
    <cellStyle name="표_공설운동진입(가실행)_파주 북시티(이채)제출" xfId="5498" xr:uid="{00000000-0005-0000-0000-000074150000}"/>
    <cellStyle name="표_공설운동진입(가실행)_파주 북시티(이채)제출_04028적산수량집계" xfId="5499" xr:uid="{00000000-0005-0000-0000-000075150000}"/>
    <cellStyle name="표_공설운동진입(가실행)_파주 북시티(전체)제출(변경전)" xfId="5500" xr:uid="{00000000-0005-0000-0000-000076150000}"/>
    <cellStyle name="표_공설운동진입(가실행)_파주 북시티(전체)제출(변경전)_04028적산수량집계" xfId="5501" xr:uid="{00000000-0005-0000-0000-000077150000}"/>
    <cellStyle name="표_사본 - 파주 북시티(이채)" xfId="5502" xr:uid="{00000000-0005-0000-0000-000078150000}"/>
    <cellStyle name="표_사본 - 파주 북시티(이채)_04028적산수량집계" xfId="5503" xr:uid="{00000000-0005-0000-0000-000079150000}"/>
    <cellStyle name="표_토목내역서" xfId="5504" xr:uid="{00000000-0005-0000-0000-00007A150000}"/>
    <cellStyle name="표_토목내역서_04028적산수량집계" xfId="5505" xr:uid="{00000000-0005-0000-0000-00007B150000}"/>
    <cellStyle name="표_토목내역서_BOOKCITY(전기)" xfId="5506" xr:uid="{00000000-0005-0000-0000-00007C150000}"/>
    <cellStyle name="표_토목내역서_BOOKCITY(전기)_04028적산수량집계" xfId="5507" xr:uid="{00000000-0005-0000-0000-00007D150000}"/>
    <cellStyle name="표_토목내역서_공설운동진입(가실행)" xfId="5508" xr:uid="{00000000-0005-0000-0000-00007E150000}"/>
    <cellStyle name="표_토목내역서_공설운동진입(가실행)_04028적산수량집계" xfId="5509" xr:uid="{00000000-0005-0000-0000-00007F150000}"/>
    <cellStyle name="표_토목내역서_공설운동진입(가실행)_BOOKCITY(전기)" xfId="5510" xr:uid="{00000000-0005-0000-0000-000080150000}"/>
    <cellStyle name="표_토목내역서_공설운동진입(가실행)_BOOKCITY(전기)_04028적산수량집계" xfId="5511" xr:uid="{00000000-0005-0000-0000-000081150000}"/>
    <cellStyle name="표_토목내역서_공설운동진입(가실행)_사본 - 파주 북시티(이채)" xfId="5512" xr:uid="{00000000-0005-0000-0000-000082150000}"/>
    <cellStyle name="표_토목내역서_공설운동진입(가실행)_사본 - 파주 북시티(이채)_04028적산수량집계" xfId="5513" xr:uid="{00000000-0005-0000-0000-000083150000}"/>
    <cellStyle name="표_토목내역서_공설운동진입(가실행)_파주 BOOK CITY(통보용)" xfId="5514" xr:uid="{00000000-0005-0000-0000-000084150000}"/>
    <cellStyle name="표_토목내역서_공설운동진입(가실행)_파주 BOOK CITY(통보용)_04028적산수량집계" xfId="5515" xr:uid="{00000000-0005-0000-0000-000085150000}"/>
    <cellStyle name="표_토목내역서_공설운동진입(가실행)_파주 BOOK CITY가실행내역" xfId="5516" xr:uid="{00000000-0005-0000-0000-000086150000}"/>
    <cellStyle name="표_토목내역서_공설운동진입(가실행)_파주 BOOK CITY가실행내역_04028적산수량집계" xfId="5517" xr:uid="{00000000-0005-0000-0000-000087150000}"/>
    <cellStyle name="표_토목내역서_공설운동진입(가실행)_파주 북시티(이채)제출" xfId="5518" xr:uid="{00000000-0005-0000-0000-000088150000}"/>
    <cellStyle name="표_토목내역서_공설운동진입(가실행)_파주 북시티(이채)제출_04028적산수량집계" xfId="5519" xr:uid="{00000000-0005-0000-0000-000089150000}"/>
    <cellStyle name="표_토목내역서_공설운동진입(가실행)_파주 북시티(전체)제출(변경전)" xfId="5520" xr:uid="{00000000-0005-0000-0000-00008A150000}"/>
    <cellStyle name="표_토목내역서_공설운동진입(가실행)_파주 북시티(전체)제출(변경전)_04028적산수량집계" xfId="5521" xr:uid="{00000000-0005-0000-0000-00008B150000}"/>
    <cellStyle name="표_토목내역서_사본 - 파주 북시티(이채)" xfId="5522" xr:uid="{00000000-0005-0000-0000-00008C150000}"/>
    <cellStyle name="표_토목내역서_사본 - 파주 북시티(이채)_04028적산수량집계" xfId="5523" xr:uid="{00000000-0005-0000-0000-00008D150000}"/>
    <cellStyle name="표_토목내역서_파주 BOOK CITY(통보용)" xfId="5524" xr:uid="{00000000-0005-0000-0000-00008E150000}"/>
    <cellStyle name="표_토목내역서_파주 BOOK CITY(통보용)_04028적산수량집계" xfId="5525" xr:uid="{00000000-0005-0000-0000-00008F150000}"/>
    <cellStyle name="표_토목내역서_파주 BOOK CITY가실행내역" xfId="5526" xr:uid="{00000000-0005-0000-0000-000090150000}"/>
    <cellStyle name="표_토목내역서_파주 BOOK CITY가실행내역_04028적산수량집계" xfId="5527" xr:uid="{00000000-0005-0000-0000-000091150000}"/>
    <cellStyle name="표_토목내역서_파주 북시티(이채)제출" xfId="5528" xr:uid="{00000000-0005-0000-0000-000092150000}"/>
    <cellStyle name="표_토목내역서_파주 북시티(이채)제출_04028적산수량집계" xfId="5529" xr:uid="{00000000-0005-0000-0000-000093150000}"/>
    <cellStyle name="표_토목내역서_파주 북시티(전체)제출(변경전)" xfId="5530" xr:uid="{00000000-0005-0000-0000-000094150000}"/>
    <cellStyle name="표_토목내역서_파주 북시티(전체)제출(변경전)_04028적산수량집계" xfId="5531" xr:uid="{00000000-0005-0000-0000-000095150000}"/>
    <cellStyle name="표_파주 BOOK CITY(통보용)" xfId="5532" xr:uid="{00000000-0005-0000-0000-000096150000}"/>
    <cellStyle name="표_파주 BOOK CITY(통보용)_04028적산수량집계" xfId="5533" xr:uid="{00000000-0005-0000-0000-000097150000}"/>
    <cellStyle name="표_파주 BOOK CITY가실행내역" xfId="5534" xr:uid="{00000000-0005-0000-0000-000098150000}"/>
    <cellStyle name="표_파주 BOOK CITY가실행내역_04028적산수량집계" xfId="5535" xr:uid="{00000000-0005-0000-0000-000099150000}"/>
    <cellStyle name="표_파주 북시티(이채)제출" xfId="5536" xr:uid="{00000000-0005-0000-0000-00009A150000}"/>
    <cellStyle name="표_파주 북시티(이채)제출_04028적산수량집계" xfId="5537" xr:uid="{00000000-0005-0000-0000-00009B150000}"/>
    <cellStyle name="표_파주 북시티(전체)제출(변경전)" xfId="5538" xr:uid="{00000000-0005-0000-0000-00009C150000}"/>
    <cellStyle name="표_파주 북시티(전체)제출(변경전)_04028적산수량집계" xfId="5539" xr:uid="{00000000-0005-0000-0000-00009D150000}"/>
    <cellStyle name="표머릿글(上)" xfId="5540" xr:uid="{00000000-0005-0000-0000-00009E150000}"/>
    <cellStyle name="표머릿글(中)" xfId="5541" xr:uid="{00000000-0005-0000-0000-00009F150000}"/>
    <cellStyle name="표머릿글(下)" xfId="5542" xr:uid="{00000000-0005-0000-0000-0000A0150000}"/>
    <cellStyle name="표준" xfId="0" builtinId="0"/>
    <cellStyle name="표준 10" xfId="5543" xr:uid="{00000000-0005-0000-0000-0000A2150000}"/>
    <cellStyle name="표준 11" xfId="5544" xr:uid="{00000000-0005-0000-0000-0000A3150000}"/>
    <cellStyle name="표준 12" xfId="5545" xr:uid="{00000000-0005-0000-0000-0000A4150000}"/>
    <cellStyle name="표준 13" xfId="5546" xr:uid="{00000000-0005-0000-0000-0000A5150000}"/>
    <cellStyle name="표준 14" xfId="5547" xr:uid="{00000000-0005-0000-0000-0000A6150000}"/>
    <cellStyle name="표준 15" xfId="5548" xr:uid="{00000000-0005-0000-0000-0000A7150000}"/>
    <cellStyle name="표준 16" xfId="5549" xr:uid="{00000000-0005-0000-0000-0000A8150000}"/>
    <cellStyle name="표준 17" xfId="5550" xr:uid="{00000000-0005-0000-0000-0000A9150000}"/>
    <cellStyle name="표준 18" xfId="5551" xr:uid="{00000000-0005-0000-0000-0000AA150000}"/>
    <cellStyle name="표준 19" xfId="5552" xr:uid="{00000000-0005-0000-0000-0000AB150000}"/>
    <cellStyle name="표준 2" xfId="9" xr:uid="{00000000-0005-0000-0000-0000AC150000}"/>
    <cellStyle name="표준 2 2" xfId="5553" xr:uid="{00000000-0005-0000-0000-0000AD150000}"/>
    <cellStyle name="표준 2 2 2" xfId="5554" xr:uid="{00000000-0005-0000-0000-0000AE150000}"/>
    <cellStyle name="표준 2 2 3" xfId="5555" xr:uid="{00000000-0005-0000-0000-0000AF150000}"/>
    <cellStyle name="표준 2 3" xfId="5556" xr:uid="{00000000-0005-0000-0000-0000B0150000}"/>
    <cellStyle name="표준 2 3 2" xfId="5557" xr:uid="{00000000-0005-0000-0000-0000B1150000}"/>
    <cellStyle name="표준 2 4" xfId="5558" xr:uid="{00000000-0005-0000-0000-0000B2150000}"/>
    <cellStyle name="표준 2_본점_중국TOUR데스크조성공사_공사세부내역서" xfId="5559" xr:uid="{00000000-0005-0000-0000-0000B3150000}"/>
    <cellStyle name="표준 20" xfId="5560" xr:uid="{00000000-0005-0000-0000-0000B4150000}"/>
    <cellStyle name="표준 21" xfId="5561" xr:uid="{00000000-0005-0000-0000-0000B5150000}"/>
    <cellStyle name="표준 22" xfId="5562" xr:uid="{00000000-0005-0000-0000-0000B6150000}"/>
    <cellStyle name="표준 23" xfId="5563" xr:uid="{00000000-0005-0000-0000-0000B7150000}"/>
    <cellStyle name="표준 24" xfId="5564" xr:uid="{00000000-0005-0000-0000-0000B8150000}"/>
    <cellStyle name="표준 25" xfId="5565" xr:uid="{00000000-0005-0000-0000-0000B9150000}"/>
    <cellStyle name="표준 26" xfId="5566" xr:uid="{00000000-0005-0000-0000-0000BA150000}"/>
    <cellStyle name="표준 27" xfId="5567" xr:uid="{00000000-0005-0000-0000-0000BB150000}"/>
    <cellStyle name="표준 28" xfId="5568" xr:uid="{00000000-0005-0000-0000-0000BC150000}"/>
    <cellStyle name="표준 29" xfId="5569" xr:uid="{00000000-0005-0000-0000-0000BD150000}"/>
    <cellStyle name="표준 3" xfId="5570" xr:uid="{00000000-0005-0000-0000-0000BE150000}"/>
    <cellStyle name="표준 3 2" xfId="5571" xr:uid="{00000000-0005-0000-0000-0000BF150000}"/>
    <cellStyle name="표준 3 3" xfId="5572" xr:uid="{00000000-0005-0000-0000-0000C0150000}"/>
    <cellStyle name="표준 3 4" xfId="5573" xr:uid="{00000000-0005-0000-0000-0000C1150000}"/>
    <cellStyle name="표준 3 5" xfId="5574" xr:uid="{00000000-0005-0000-0000-0000C2150000}"/>
    <cellStyle name="표준 3_코엑스점_BOBBI BROWN_매장공사_세부내역서" xfId="5575" xr:uid="{00000000-0005-0000-0000-0000C3150000}"/>
    <cellStyle name="표준 30" xfId="5576" xr:uid="{00000000-0005-0000-0000-0000C4150000}"/>
    <cellStyle name="표준 31" xfId="5577" xr:uid="{00000000-0005-0000-0000-0000C5150000}"/>
    <cellStyle name="표준 32" xfId="5578" xr:uid="{00000000-0005-0000-0000-0000C6150000}"/>
    <cellStyle name="표준 33" xfId="5579" xr:uid="{00000000-0005-0000-0000-0000C7150000}"/>
    <cellStyle name="표준 34" xfId="5580" xr:uid="{00000000-0005-0000-0000-0000C8150000}"/>
    <cellStyle name="표준 35" xfId="5581" xr:uid="{00000000-0005-0000-0000-0000C9150000}"/>
    <cellStyle name="표준 36" xfId="5582" xr:uid="{00000000-0005-0000-0000-0000CA150000}"/>
    <cellStyle name="표준 37" xfId="5583" xr:uid="{00000000-0005-0000-0000-0000CB150000}"/>
    <cellStyle name="표준 38" xfId="5584" xr:uid="{00000000-0005-0000-0000-0000CC150000}"/>
    <cellStyle name="표준 39" xfId="5585" xr:uid="{00000000-0005-0000-0000-0000CD150000}"/>
    <cellStyle name="표준 4" xfId="5586" xr:uid="{00000000-0005-0000-0000-0000CE150000}"/>
    <cellStyle name="표준 4 2" xfId="5587" xr:uid="{00000000-0005-0000-0000-0000CF150000}"/>
    <cellStyle name="표준 4 3" xfId="5588" xr:uid="{00000000-0005-0000-0000-0000D0150000}"/>
    <cellStyle name="표준 4 4" xfId="5589" xr:uid="{00000000-0005-0000-0000-0000D1150000}"/>
    <cellStyle name="표준 4_코엑스점_BOBBI BROWN_매장공사_세부내역서" xfId="5590" xr:uid="{00000000-0005-0000-0000-0000D2150000}"/>
    <cellStyle name="표준 40" xfId="5591" xr:uid="{00000000-0005-0000-0000-0000D3150000}"/>
    <cellStyle name="표준 41" xfId="5592" xr:uid="{00000000-0005-0000-0000-0000D4150000}"/>
    <cellStyle name="표준 42" xfId="5593" xr:uid="{00000000-0005-0000-0000-0000D5150000}"/>
    <cellStyle name="표준 43" xfId="5594" xr:uid="{00000000-0005-0000-0000-0000D6150000}"/>
    <cellStyle name="표준 44" xfId="5595" xr:uid="{00000000-0005-0000-0000-0000D7150000}"/>
    <cellStyle name="표준 45" xfId="5596" xr:uid="{00000000-0005-0000-0000-0000D8150000}"/>
    <cellStyle name="표준 46" xfId="5597" xr:uid="{00000000-0005-0000-0000-0000D9150000}"/>
    <cellStyle name="표준 47" xfId="5598" xr:uid="{00000000-0005-0000-0000-0000DA150000}"/>
    <cellStyle name="표준 48" xfId="5599" xr:uid="{00000000-0005-0000-0000-0000DB150000}"/>
    <cellStyle name="표준 49" xfId="5600" xr:uid="{00000000-0005-0000-0000-0000DC150000}"/>
    <cellStyle name="표준 5" xfId="5601" xr:uid="{00000000-0005-0000-0000-0000DD150000}"/>
    <cellStyle name="표준 5 2" xfId="5602" xr:uid="{00000000-0005-0000-0000-0000DE150000}"/>
    <cellStyle name="표준 6" xfId="5603" xr:uid="{00000000-0005-0000-0000-0000DF150000}"/>
    <cellStyle name="표준 7" xfId="5604" xr:uid="{00000000-0005-0000-0000-0000E0150000}"/>
    <cellStyle name="표준 8" xfId="5605" xr:uid="{00000000-0005-0000-0000-0000E1150000}"/>
    <cellStyle name="표준 9" xfId="5606" xr:uid="{00000000-0005-0000-0000-0000E2150000}"/>
    <cellStyle name="표준 9 2" xfId="5607" xr:uid="{00000000-0005-0000-0000-0000E3150000}"/>
    <cellStyle name="표준?Sheet8 (3)" xfId="5608" xr:uid="{00000000-0005-0000-0000-0000E4150000}"/>
    <cellStyle name="標準_ ｹ-ﾌﾞﾙ物量(B)" xfId="5609" xr:uid="{00000000-0005-0000-0000-0000E5150000}"/>
    <cellStyle name="표준_1022-삼성동 미켈란 147 주상복합 신축" xfId="6" xr:uid="{00000000-0005-0000-0000-0000E6150000}"/>
    <cellStyle name="標準_Akia(F）-8" xfId="5610" xr:uid="{00000000-0005-0000-0000-0000E7150000}"/>
    <cellStyle name="표준_내역서-철도공사" xfId="1" xr:uid="{00000000-0005-0000-0000-0000E8150000}"/>
    <cellStyle name="표준_업체송부공내역서" xfId="10" xr:uid="{00000000-0005-0000-0000-0000E9150000}"/>
    <cellStyle name="표준_우이감리교회" xfId="4" xr:uid="{00000000-0005-0000-0000-0000EA150000}"/>
    <cellStyle name="표준1" xfId="5611" xr:uid="{00000000-0005-0000-0000-0000EB150000}"/>
    <cellStyle name="표준2" xfId="5612" xr:uid="{00000000-0005-0000-0000-0000EC150000}"/>
    <cellStyle name="표쥰" xfId="5613" xr:uid="{00000000-0005-0000-0000-0000ED150000}"/>
    <cellStyle name="하이퍼링크 2" xfId="5614" xr:uid="{00000000-0005-0000-0000-0000EE150000}"/>
    <cellStyle name="합산" xfId="5615" xr:uid="{00000000-0005-0000-0000-0000EF150000}"/>
    <cellStyle name="합산 2" xfId="5616" xr:uid="{00000000-0005-0000-0000-0000F0150000}"/>
    <cellStyle name="합산 3" xfId="5617" xr:uid="{00000000-0005-0000-0000-0000F1150000}"/>
    <cellStyle name="합산 4" xfId="5618" xr:uid="{00000000-0005-0000-0000-0000F2150000}"/>
    <cellStyle name="합산 5" xfId="5619" xr:uid="{00000000-0005-0000-0000-0000F3150000}"/>
    <cellStyle name="합산 6" xfId="5620" xr:uid="{00000000-0005-0000-0000-0000F4150000}"/>
    <cellStyle name="합산_코엑스점_BOBBI BROWN_매장공사_세부내역서" xfId="5621" xr:uid="{00000000-0005-0000-0000-0000F5150000}"/>
    <cellStyle name="桁区切り [0.00]_laroux" xfId="5622" xr:uid="{00000000-0005-0000-0000-0000F6150000}"/>
    <cellStyle name="桁区切り_laroux" xfId="5623" xr:uid="{00000000-0005-0000-0000-0000F7150000}"/>
    <cellStyle name="貨幣 [0]_GARMENT STEP FORM HK" xfId="5624" xr:uid="{00000000-0005-0000-0000-0000F8150000}"/>
    <cellStyle name="貨幣_GARMENT STEP FORM HK" xfId="5625" xr:uid="{00000000-0005-0000-0000-0000F9150000}"/>
    <cellStyle name="화폐기호" xfId="5626" xr:uid="{00000000-0005-0000-0000-0000FA150000}"/>
    <cellStyle name="화폐기호 2" xfId="5627" xr:uid="{00000000-0005-0000-0000-0000FB150000}"/>
    <cellStyle name="화폐기호 3" xfId="5628" xr:uid="{00000000-0005-0000-0000-0000FC150000}"/>
    <cellStyle name="화폐기호 4" xfId="5629" xr:uid="{00000000-0005-0000-0000-0000FD150000}"/>
    <cellStyle name="화폐기호 5" xfId="5630" xr:uid="{00000000-0005-0000-0000-0000FE150000}"/>
    <cellStyle name="화폐기호 6" xfId="5631" xr:uid="{00000000-0005-0000-0000-0000FF150000}"/>
    <cellStyle name="화폐기호_코엑스점_BOBBI BROWN_매장공사_세부내역서" xfId="5632" xr:uid="{00000000-0005-0000-0000-000000160000}"/>
    <cellStyle name="화폐기호0" xfId="5633" xr:uid="{00000000-0005-0000-0000-000001160000}"/>
    <cellStyle name="화폐기호0 2" xfId="5634" xr:uid="{00000000-0005-0000-0000-000002160000}"/>
    <cellStyle name="화폐기호0 3" xfId="5635" xr:uid="{00000000-0005-0000-0000-000003160000}"/>
    <cellStyle name="화폐기호0 4" xfId="5636" xr:uid="{00000000-0005-0000-0000-000004160000}"/>
    <cellStyle name="화폐기호0 5" xfId="5637" xr:uid="{00000000-0005-0000-0000-000005160000}"/>
    <cellStyle name="화폐기호0 6" xfId="5638" xr:uid="{00000000-0005-0000-0000-000006160000}"/>
    <cellStyle name="화폐기호0_코엑스점_BOBBI BROWN_매장공사_세부내역서" xfId="5639" xr:uid="{00000000-0005-0000-0000-000007160000}"/>
    <cellStyle name="ㅣ" xfId="5640" xr:uid="{00000000-0005-0000-0000-000008160000}"/>
  </cellStyles>
  <dxfs count="0"/>
  <tableStyles count="0" defaultTableStyle="TableStyleMedium9" defaultPivotStyle="PivotStyleLight16"/>
  <colors>
    <mruColors>
      <color rgb="FF00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</xdr:row>
      <xdr:rowOff>0</xdr:rowOff>
    </xdr:from>
    <xdr:to>
      <xdr:col>6</xdr:col>
      <xdr:colOff>695325</xdr:colOff>
      <xdr:row>3</xdr:row>
      <xdr:rowOff>133350</xdr:rowOff>
    </xdr:to>
    <xdr:pic>
      <xdr:nvPicPr>
        <xdr:cNvPr id="2" name="object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zoomScale="87" zoomScaleNormal="87" zoomScaleSheetLayoutView="100" workbookViewId="0">
      <selection activeCell="I15" sqref="I15"/>
    </sheetView>
  </sheetViews>
  <sheetFormatPr defaultRowHeight="17.399999999999999"/>
  <cols>
    <col min="1" max="1" width="12.296875" customWidth="1"/>
    <col min="2" max="2" width="23.69921875" customWidth="1"/>
    <col min="3" max="3" width="18.09765625" customWidth="1"/>
    <col min="4" max="7" width="10" customWidth="1"/>
    <col min="8" max="8" width="20.5" customWidth="1"/>
    <col min="9" max="9" width="24.09765625" customWidth="1"/>
  </cols>
  <sheetData>
    <row r="1" spans="1:9" ht="0.75" customHeight="1"/>
    <row r="2" spans="1:9" ht="21" customHeight="1"/>
    <row r="3" spans="1:9" ht="3" customHeight="1"/>
    <row r="4" spans="1:9" ht="24" customHeight="1">
      <c r="B4" s="67"/>
      <c r="H4" s="87" t="s">
        <v>51</v>
      </c>
      <c r="I4" s="88"/>
    </row>
    <row r="5" spans="1:9" ht="11.25" customHeight="1">
      <c r="A5" s="2"/>
      <c r="B5" s="2"/>
      <c r="C5" s="2"/>
      <c r="D5" s="2"/>
      <c r="E5" s="2"/>
      <c r="F5" s="2"/>
      <c r="G5" s="2"/>
      <c r="H5" s="51"/>
      <c r="I5" s="51"/>
    </row>
    <row r="6" spans="1:9" ht="22.5" customHeight="1">
      <c r="A6" s="125" t="s">
        <v>87</v>
      </c>
      <c r="B6" s="125"/>
      <c r="C6" s="125"/>
      <c r="D6" s="125"/>
      <c r="E6" s="125"/>
      <c r="F6" s="125"/>
      <c r="G6" s="125"/>
      <c r="H6" s="122" t="s">
        <v>46</v>
      </c>
      <c r="I6" s="122"/>
    </row>
    <row r="7" spans="1:9" ht="13.5" customHeight="1">
      <c r="A7" s="125"/>
      <c r="B7" s="125"/>
      <c r="C7" s="125"/>
      <c r="D7" s="125"/>
      <c r="E7" s="125"/>
      <c r="F7" s="125"/>
      <c r="G7" s="125"/>
      <c r="H7" s="123" t="s">
        <v>47</v>
      </c>
      <c r="I7" s="123"/>
    </row>
    <row r="8" spans="1:9" ht="14.25" customHeight="1">
      <c r="A8" s="3"/>
      <c r="B8" s="3"/>
      <c r="C8" s="3"/>
      <c r="D8" s="3"/>
      <c r="E8" s="3"/>
      <c r="F8" s="3"/>
      <c r="G8" s="3"/>
      <c r="H8" s="124" t="s">
        <v>48</v>
      </c>
      <c r="I8" s="124"/>
    </row>
    <row r="9" spans="1:9" ht="17.25" customHeight="1">
      <c r="A9" s="1"/>
      <c r="B9" s="1"/>
      <c r="C9" s="1"/>
      <c r="D9" s="1"/>
      <c r="E9" s="1"/>
      <c r="F9" s="1"/>
      <c r="G9" s="1"/>
      <c r="H9" s="124" t="s">
        <v>49</v>
      </c>
      <c r="I9" s="124"/>
    </row>
    <row r="10" spans="1:9" ht="29.25" customHeight="1">
      <c r="A10" s="109" t="s">
        <v>11</v>
      </c>
      <c r="B10" s="111" t="str">
        <f>"일금 "&amp;TEXT(D10,"[DBNum4][$-412]G/표준")&amp;"원정"</f>
        <v>일금 일천팔백오십육만일천이백원정</v>
      </c>
      <c r="C10" s="112"/>
      <c r="D10" s="115">
        <f>내역서!S30</f>
        <v>18561200</v>
      </c>
      <c r="E10" s="116"/>
      <c r="F10" s="117"/>
      <c r="G10" s="1"/>
      <c r="H10" s="121" t="s">
        <v>50</v>
      </c>
      <c r="I10" s="121"/>
    </row>
    <row r="11" spans="1:9" ht="24" customHeight="1">
      <c r="A11" s="110"/>
      <c r="B11" s="113"/>
      <c r="C11" s="114"/>
      <c r="D11" s="118"/>
      <c r="E11" s="119"/>
      <c r="F11" s="120"/>
      <c r="G11" s="1"/>
      <c r="H11" s="108">
        <v>46024</v>
      </c>
      <c r="I11" s="108"/>
    </row>
    <row r="12" spans="1:9" ht="12.75" customHeight="1">
      <c r="A12" s="105" t="s">
        <v>41</v>
      </c>
      <c r="B12" s="106"/>
      <c r="C12" s="106"/>
      <c r="H12" s="104"/>
      <c r="I12" s="104"/>
    </row>
    <row r="13" spans="1:9" ht="12" customHeight="1">
      <c r="A13" s="107"/>
      <c r="B13" s="107"/>
      <c r="C13" s="107"/>
      <c r="H13" s="104"/>
      <c r="I13" s="104"/>
    </row>
    <row r="14" spans="1:9" s="4" customFormat="1" ht="33.75" customHeight="1">
      <c r="A14" s="102" t="s">
        <v>2</v>
      </c>
      <c r="B14" s="103"/>
      <c r="C14" s="52" t="s">
        <v>6</v>
      </c>
      <c r="D14" s="52" t="s">
        <v>8</v>
      </c>
      <c r="E14" s="52" t="s">
        <v>9</v>
      </c>
      <c r="F14" s="102" t="s">
        <v>10</v>
      </c>
      <c r="G14" s="103"/>
      <c r="H14" s="53" t="s">
        <v>5</v>
      </c>
      <c r="I14" s="53" t="s">
        <v>7</v>
      </c>
    </row>
    <row r="15" spans="1:9" s="4" customFormat="1" ht="22.5" customHeight="1">
      <c r="A15" s="94" t="s">
        <v>88</v>
      </c>
      <c r="B15" s="95"/>
      <c r="C15" s="5" t="s">
        <v>85</v>
      </c>
      <c r="D15" s="5">
        <v>1</v>
      </c>
      <c r="E15" s="5"/>
      <c r="F15" s="92">
        <f>SUM(D10)</f>
        <v>18561200</v>
      </c>
      <c r="G15" s="93"/>
      <c r="H15" s="77">
        <f>SUM(F15)</f>
        <v>18561200</v>
      </c>
      <c r="I15" s="6"/>
    </row>
    <row r="16" spans="1:9" s="4" customFormat="1" ht="22.5" customHeight="1">
      <c r="A16" s="94"/>
      <c r="B16" s="95"/>
      <c r="C16" s="5"/>
      <c r="D16" s="5"/>
      <c r="E16" s="5"/>
      <c r="F16" s="92"/>
      <c r="G16" s="93"/>
      <c r="H16" s="78">
        <f t="shared" ref="H16:H19" si="0">E16*F16</f>
        <v>0</v>
      </c>
      <c r="I16" s="6"/>
    </row>
    <row r="17" spans="1:9" s="4" customFormat="1" ht="22.5" customHeight="1">
      <c r="A17" s="94"/>
      <c r="B17" s="95"/>
      <c r="C17" s="5"/>
      <c r="D17" s="5"/>
      <c r="E17" s="5"/>
      <c r="F17" s="98"/>
      <c r="G17" s="99"/>
      <c r="H17" s="79">
        <f t="shared" si="0"/>
        <v>0</v>
      </c>
      <c r="I17" s="6"/>
    </row>
    <row r="18" spans="1:9" s="4" customFormat="1" ht="22.5" customHeight="1">
      <c r="A18" s="94"/>
      <c r="B18" s="95"/>
      <c r="C18" s="5"/>
      <c r="D18" s="5"/>
      <c r="E18" s="5"/>
      <c r="F18" s="92"/>
      <c r="G18" s="93"/>
      <c r="H18" s="79">
        <f t="shared" si="0"/>
        <v>0</v>
      </c>
      <c r="I18" s="6"/>
    </row>
    <row r="19" spans="1:9" s="4" customFormat="1" ht="22.5" customHeight="1">
      <c r="A19" s="94"/>
      <c r="B19" s="95"/>
      <c r="C19" s="5"/>
      <c r="D19" s="5"/>
      <c r="E19" s="5"/>
      <c r="F19" s="94"/>
      <c r="G19" s="95"/>
      <c r="H19" s="80">
        <f t="shared" si="0"/>
        <v>0</v>
      </c>
      <c r="I19" s="6"/>
    </row>
    <row r="20" spans="1:9" s="4" customFormat="1" ht="28.5" customHeight="1">
      <c r="A20" s="96" t="s">
        <v>1</v>
      </c>
      <c r="B20" s="97"/>
      <c r="C20" s="68"/>
      <c r="D20" s="69"/>
      <c r="E20" s="69"/>
      <c r="F20" s="96"/>
      <c r="G20" s="97"/>
      <c r="H20" s="76">
        <f>SUM(H15:H19)</f>
        <v>18561200</v>
      </c>
      <c r="I20" s="70" t="s">
        <v>42</v>
      </c>
    </row>
    <row r="21" spans="1:9" s="4" customFormat="1" ht="16.5" customHeight="1">
      <c r="A21" s="7" t="s">
        <v>3</v>
      </c>
      <c r="B21" s="2"/>
      <c r="C21" s="2"/>
      <c r="D21" s="2"/>
      <c r="E21" s="2"/>
      <c r="F21" s="2"/>
      <c r="G21" s="2"/>
      <c r="H21" s="8"/>
    </row>
    <row r="22" spans="1:9" s="4" customFormat="1" ht="16.5" customHeight="1">
      <c r="A22" s="2" t="s">
        <v>4</v>
      </c>
      <c r="B22" s="2"/>
      <c r="C22" s="2"/>
      <c r="D22" s="2"/>
      <c r="E22" s="2"/>
      <c r="F22" s="2"/>
      <c r="G22" s="2"/>
      <c r="H22" s="9"/>
    </row>
    <row r="23" spans="1:9" s="4" customFormat="1" ht="16.5" customHeight="1">
      <c r="A23" s="2" t="s">
        <v>0</v>
      </c>
      <c r="B23" s="2"/>
      <c r="C23" s="2"/>
      <c r="D23" s="2"/>
      <c r="E23" s="2"/>
      <c r="F23" s="2"/>
      <c r="G23" s="2"/>
      <c r="I23" s="2"/>
    </row>
    <row r="24" spans="1:9" s="4" customFormat="1" ht="16.5" customHeight="1">
      <c r="A24" s="2" t="s">
        <v>58</v>
      </c>
      <c r="B24" s="2" t="s">
        <v>38</v>
      </c>
      <c r="C24" s="2"/>
      <c r="D24" s="2"/>
      <c r="E24" s="2"/>
      <c r="F24" s="2"/>
      <c r="G24" s="2"/>
    </row>
    <row r="25" spans="1:9" s="4" customFormat="1" ht="16.5" customHeight="1">
      <c r="A25" s="10" t="s">
        <v>53</v>
      </c>
      <c r="B25" s="2"/>
      <c r="C25" s="2"/>
      <c r="D25" s="2"/>
      <c r="E25" s="2"/>
      <c r="F25" s="2"/>
      <c r="G25" s="2"/>
      <c r="H25" s="90"/>
      <c r="I25" s="90"/>
    </row>
    <row r="26" spans="1:9" s="4" customFormat="1" ht="16.5" customHeight="1">
      <c r="A26" s="10" t="s">
        <v>54</v>
      </c>
      <c r="B26" s="2"/>
      <c r="C26" s="2"/>
      <c r="D26" s="2"/>
      <c r="E26" s="2"/>
      <c r="F26" s="2"/>
      <c r="G26" s="2"/>
      <c r="H26" s="91"/>
      <c r="I26" s="91"/>
    </row>
    <row r="27" spans="1:9" s="4" customFormat="1" ht="16.5" customHeight="1">
      <c r="A27" s="100" t="s">
        <v>55</v>
      </c>
      <c r="B27" s="88"/>
      <c r="C27" s="88"/>
      <c r="D27" s="2"/>
      <c r="E27" s="2"/>
      <c r="F27" s="2"/>
      <c r="G27" s="2"/>
    </row>
    <row r="28" spans="1:9" s="4" customFormat="1" ht="16.5" customHeight="1">
      <c r="A28" s="100" t="s">
        <v>56</v>
      </c>
      <c r="B28" s="88"/>
      <c r="C28" s="88"/>
      <c r="D28" s="2"/>
      <c r="E28" s="2"/>
      <c r="F28" s="2"/>
      <c r="G28" s="2"/>
    </row>
    <row r="29" spans="1:9">
      <c r="A29" s="10" t="s">
        <v>59</v>
      </c>
      <c r="B29" s="101" t="s">
        <v>61</v>
      </c>
      <c r="C29" s="88"/>
      <c r="D29" s="88"/>
      <c r="E29" s="88"/>
    </row>
    <row r="30" spans="1:9">
      <c r="A30" s="72" t="s">
        <v>57</v>
      </c>
      <c r="B30" s="89" t="s">
        <v>52</v>
      </c>
      <c r="C30" s="88"/>
      <c r="D30" s="88"/>
      <c r="E30" s="88"/>
      <c r="F30" s="88"/>
      <c r="G30" s="88"/>
    </row>
    <row r="31" spans="1:9">
      <c r="D31" s="73"/>
      <c r="E31" s="73"/>
      <c r="F31" s="73"/>
    </row>
    <row r="35" spans="5:5">
      <c r="E35" s="71" t="s">
        <v>36</v>
      </c>
    </row>
  </sheetData>
  <mergeCells count="34">
    <mergeCell ref="H6:I6"/>
    <mergeCell ref="H7:I7"/>
    <mergeCell ref="H8:I8"/>
    <mergeCell ref="H9:I9"/>
    <mergeCell ref="A6:G7"/>
    <mergeCell ref="H13:I13"/>
    <mergeCell ref="A12:C13"/>
    <mergeCell ref="H11:I11"/>
    <mergeCell ref="H12:I12"/>
    <mergeCell ref="A10:A11"/>
    <mergeCell ref="B10:C11"/>
    <mergeCell ref="D10:F11"/>
    <mergeCell ref="H10:I10"/>
    <mergeCell ref="B29:E29"/>
    <mergeCell ref="A14:B14"/>
    <mergeCell ref="F14:G14"/>
    <mergeCell ref="A15:B15"/>
    <mergeCell ref="F15:G15"/>
    <mergeCell ref="H4:I4"/>
    <mergeCell ref="B30:G30"/>
    <mergeCell ref="H25:I25"/>
    <mergeCell ref="H26:I26"/>
    <mergeCell ref="F16:G16"/>
    <mergeCell ref="A16:B16"/>
    <mergeCell ref="A18:B18"/>
    <mergeCell ref="F18:G18"/>
    <mergeCell ref="A19:B19"/>
    <mergeCell ref="F19:G19"/>
    <mergeCell ref="A20:B20"/>
    <mergeCell ref="F20:G20"/>
    <mergeCell ref="A17:B17"/>
    <mergeCell ref="F17:G17"/>
    <mergeCell ref="A27:C27"/>
    <mergeCell ref="A28:C28"/>
  </mergeCells>
  <phoneticPr fontId="12" type="noConversion"/>
  <printOptions horizontalCentered="1" verticalCentered="1"/>
  <pageMargins left="0" right="0" top="0" bottom="0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9"/>
  <sheetViews>
    <sheetView showRowColHeaders="0" tabSelected="1" showWhiteSpace="0" view="pageLayout" topLeftCell="H1" zoomScale="89" zoomScaleSheetLayoutView="85" zoomScalePageLayoutView="89" workbookViewId="0">
      <selection activeCell="S31" sqref="S31"/>
    </sheetView>
  </sheetViews>
  <sheetFormatPr defaultColWidth="8.69921875" defaultRowHeight="17.399999999999999" outlineLevelCol="1"/>
  <cols>
    <col min="1" max="4" width="4.59765625" style="41" hidden="1" customWidth="1" outlineLevel="1"/>
    <col min="5" max="5" width="5.796875" style="41" hidden="1" customWidth="1" outlineLevel="1"/>
    <col min="6" max="7" width="4.59765625" style="41" hidden="1" customWidth="1" outlineLevel="1"/>
    <col min="8" max="8" width="5.59765625" style="42" customWidth="1" collapsed="1"/>
    <col min="9" max="9" width="22.5" style="13" customWidth="1"/>
    <col min="10" max="10" width="18.09765625" style="13" customWidth="1"/>
    <col min="11" max="11" width="5.59765625" style="13" customWidth="1"/>
    <col min="12" max="12" width="9.59765625" style="43" customWidth="1"/>
    <col min="13" max="13" width="8.59765625" style="43" customWidth="1"/>
    <col min="14" max="14" width="13" style="13" customWidth="1"/>
    <col min="15" max="19" width="11.59765625" style="13" customWidth="1"/>
    <col min="20" max="20" width="8.69921875" style="13" customWidth="1"/>
    <col min="21" max="21" width="12.69921875" style="13" bestFit="1" customWidth="1"/>
    <col min="22" max="16384" width="8.69921875" style="13"/>
  </cols>
  <sheetData>
    <row r="1" spans="1:20" ht="18" customHeight="1">
      <c r="A1" s="11"/>
      <c r="B1" s="11"/>
      <c r="C1" s="11"/>
      <c r="D1" s="11"/>
      <c r="E1" s="11"/>
      <c r="F1" s="11"/>
      <c r="G1" s="12"/>
      <c r="H1" s="54" t="s">
        <v>13</v>
      </c>
      <c r="I1" s="55" t="s">
        <v>14</v>
      </c>
      <c r="J1" s="56" t="s">
        <v>15</v>
      </c>
      <c r="K1" s="57" t="s">
        <v>12</v>
      </c>
      <c r="L1" s="58" t="s">
        <v>16</v>
      </c>
      <c r="M1" s="58" t="s">
        <v>17</v>
      </c>
      <c r="N1" s="126" t="s">
        <v>18</v>
      </c>
      <c r="O1" s="126"/>
      <c r="P1" s="126" t="s">
        <v>19</v>
      </c>
      <c r="Q1" s="126"/>
      <c r="R1" s="126" t="s">
        <v>20</v>
      </c>
      <c r="S1" s="126"/>
      <c r="T1" s="59" t="s">
        <v>21</v>
      </c>
    </row>
    <row r="2" spans="1:20" ht="18" customHeight="1">
      <c r="A2" s="14"/>
      <c r="B2" s="14" t="s">
        <v>22</v>
      </c>
      <c r="C2" s="14" t="s">
        <v>23</v>
      </c>
      <c r="D2" s="14" t="s">
        <v>24</v>
      </c>
      <c r="E2" s="14" t="s">
        <v>25</v>
      </c>
      <c r="F2" s="14" t="s">
        <v>26</v>
      </c>
      <c r="G2" s="15"/>
      <c r="H2" s="60" t="s">
        <v>27</v>
      </c>
      <c r="I2" s="61" t="s">
        <v>28</v>
      </c>
      <c r="J2" s="62" t="s">
        <v>29</v>
      </c>
      <c r="K2" s="63" t="s">
        <v>30</v>
      </c>
      <c r="L2" s="64" t="s">
        <v>31</v>
      </c>
      <c r="M2" s="64" t="s">
        <v>31</v>
      </c>
      <c r="N2" s="65" t="s">
        <v>32</v>
      </c>
      <c r="O2" s="65" t="s">
        <v>33</v>
      </c>
      <c r="P2" s="65" t="s">
        <v>32</v>
      </c>
      <c r="Q2" s="65" t="s">
        <v>33</v>
      </c>
      <c r="R2" s="65" t="s">
        <v>32</v>
      </c>
      <c r="S2" s="65" t="s">
        <v>33</v>
      </c>
      <c r="T2" s="66" t="s">
        <v>34</v>
      </c>
    </row>
    <row r="3" spans="1:20" s="25" customFormat="1" ht="18" customHeight="1">
      <c r="A3" s="16"/>
      <c r="B3" s="17"/>
      <c r="C3" s="17"/>
      <c r="D3" s="17"/>
      <c r="E3" s="17"/>
      <c r="F3" s="17"/>
      <c r="G3" s="18" t="s">
        <v>35</v>
      </c>
      <c r="H3" s="19">
        <v>1</v>
      </c>
      <c r="I3" s="49" t="s">
        <v>62</v>
      </c>
      <c r="J3" s="28" t="s">
        <v>63</v>
      </c>
      <c r="K3" s="46" t="s">
        <v>64</v>
      </c>
      <c r="L3" s="21">
        <v>3</v>
      </c>
      <c r="M3" s="21"/>
      <c r="N3" s="22">
        <v>1457500</v>
      </c>
      <c r="O3" s="74">
        <f>N3*L3</f>
        <v>4372500</v>
      </c>
      <c r="P3" s="22"/>
      <c r="Q3" s="74">
        <f>P3*L3</f>
        <v>0</v>
      </c>
      <c r="R3" s="74">
        <f>P3+N3</f>
        <v>1457500</v>
      </c>
      <c r="S3" s="74">
        <f>R3*L3</f>
        <v>4372500</v>
      </c>
      <c r="T3" s="84" t="s">
        <v>73</v>
      </c>
    </row>
    <row r="4" spans="1:20" s="25" customFormat="1" ht="18" customHeight="1">
      <c r="A4" s="16"/>
      <c r="B4" s="17"/>
      <c r="C4" s="17"/>
      <c r="D4" s="17"/>
      <c r="E4" s="17"/>
      <c r="F4" s="17"/>
      <c r="G4" s="18"/>
      <c r="H4" s="26"/>
      <c r="I4" s="49" t="s">
        <v>65</v>
      </c>
      <c r="J4" s="28" t="s">
        <v>66</v>
      </c>
      <c r="K4" s="46" t="s">
        <v>64</v>
      </c>
      <c r="L4" s="50">
        <v>3</v>
      </c>
      <c r="M4" s="21" t="s">
        <v>36</v>
      </c>
      <c r="N4" s="22">
        <v>732600</v>
      </c>
      <c r="O4" s="74">
        <f t="shared" ref="O4:O13" si="0">N4*L4</f>
        <v>2197800</v>
      </c>
      <c r="P4" s="22"/>
      <c r="Q4" s="74">
        <f t="shared" ref="Q4:Q13" si="1">P4*L4</f>
        <v>0</v>
      </c>
      <c r="R4" s="74">
        <f>P4+N4</f>
        <v>732600</v>
      </c>
      <c r="S4" s="74">
        <f t="shared" ref="S4:S14" si="2">R4*L4</f>
        <v>2197800</v>
      </c>
      <c r="T4" s="24"/>
    </row>
    <row r="5" spans="1:20" s="25" customFormat="1" ht="18" customHeight="1">
      <c r="A5" s="16"/>
      <c r="B5" s="17"/>
      <c r="C5" s="17"/>
      <c r="D5" s="17"/>
      <c r="E5" s="17"/>
      <c r="F5" s="17"/>
      <c r="G5" s="18"/>
      <c r="H5" s="26"/>
      <c r="I5" s="49" t="s">
        <v>67</v>
      </c>
      <c r="J5" s="28" t="s">
        <v>68</v>
      </c>
      <c r="K5" s="46" t="s">
        <v>64</v>
      </c>
      <c r="L5" s="50">
        <v>3</v>
      </c>
      <c r="M5" s="21" t="s">
        <v>36</v>
      </c>
      <c r="N5" s="22">
        <v>42900</v>
      </c>
      <c r="O5" s="74">
        <f t="shared" si="0"/>
        <v>128700</v>
      </c>
      <c r="P5" s="22"/>
      <c r="Q5" s="74">
        <f t="shared" si="1"/>
        <v>0</v>
      </c>
      <c r="R5" s="74">
        <f t="shared" ref="R5:R13" si="3">P5+N5</f>
        <v>42900</v>
      </c>
      <c r="S5" s="74">
        <f t="shared" si="2"/>
        <v>128700</v>
      </c>
      <c r="T5" s="24"/>
    </row>
    <row r="6" spans="1:20" s="25" customFormat="1" ht="18" customHeight="1">
      <c r="A6" s="16"/>
      <c r="B6" s="17"/>
      <c r="C6" s="17"/>
      <c r="D6" s="17"/>
      <c r="E6" s="17"/>
      <c r="F6" s="17"/>
      <c r="G6" s="18"/>
      <c r="H6" s="26" t="s">
        <v>40</v>
      </c>
      <c r="I6" s="48" t="s">
        <v>69</v>
      </c>
      <c r="J6" s="28" t="s">
        <v>70</v>
      </c>
      <c r="K6" s="46" t="s">
        <v>64</v>
      </c>
      <c r="L6" s="50">
        <v>3</v>
      </c>
      <c r="M6" s="21" t="s">
        <v>36</v>
      </c>
      <c r="N6" s="22">
        <v>81400</v>
      </c>
      <c r="O6" s="74">
        <f t="shared" si="0"/>
        <v>244200</v>
      </c>
      <c r="P6" s="22"/>
      <c r="Q6" s="74">
        <f t="shared" si="1"/>
        <v>0</v>
      </c>
      <c r="R6" s="74">
        <f t="shared" si="3"/>
        <v>81400</v>
      </c>
      <c r="S6" s="74">
        <f t="shared" si="2"/>
        <v>244200</v>
      </c>
      <c r="T6" s="24"/>
    </row>
    <row r="7" spans="1:20" s="25" customFormat="1" ht="18" customHeight="1">
      <c r="A7" s="16"/>
      <c r="B7" s="17"/>
      <c r="C7" s="17"/>
      <c r="D7" s="17"/>
      <c r="E7" s="17"/>
      <c r="F7" s="17"/>
      <c r="G7" s="18"/>
      <c r="H7" s="26" t="s">
        <v>39</v>
      </c>
      <c r="I7" s="48" t="s">
        <v>71</v>
      </c>
      <c r="J7" s="28"/>
      <c r="K7" s="28" t="s">
        <v>64</v>
      </c>
      <c r="L7" s="29">
        <v>3</v>
      </c>
      <c r="M7" s="29"/>
      <c r="N7" s="47">
        <v>11000</v>
      </c>
      <c r="O7" s="74">
        <f t="shared" si="0"/>
        <v>33000</v>
      </c>
      <c r="P7" s="31"/>
      <c r="Q7" s="74">
        <f t="shared" si="1"/>
        <v>0</v>
      </c>
      <c r="R7" s="74">
        <f t="shared" si="3"/>
        <v>11000</v>
      </c>
      <c r="S7" s="74">
        <f t="shared" si="2"/>
        <v>33000</v>
      </c>
      <c r="T7" s="24"/>
    </row>
    <row r="8" spans="1:20" s="25" customFormat="1" ht="18" customHeight="1">
      <c r="A8" s="16"/>
      <c r="B8" s="17"/>
      <c r="C8" s="17"/>
      <c r="D8" s="17"/>
      <c r="E8" s="17"/>
      <c r="F8" s="17"/>
      <c r="G8" s="18"/>
      <c r="H8" s="32"/>
      <c r="I8" s="48" t="s">
        <v>72</v>
      </c>
      <c r="J8" s="28"/>
      <c r="K8" s="28" t="s">
        <v>64</v>
      </c>
      <c r="L8" s="29">
        <v>3</v>
      </c>
      <c r="M8" s="29" t="s">
        <v>36</v>
      </c>
      <c r="N8" s="44"/>
      <c r="O8" s="74">
        <f t="shared" si="0"/>
        <v>0</v>
      </c>
      <c r="P8" s="31"/>
      <c r="Q8" s="74">
        <f t="shared" si="1"/>
        <v>0</v>
      </c>
      <c r="R8" s="74">
        <f t="shared" si="3"/>
        <v>0</v>
      </c>
      <c r="S8" s="74">
        <f t="shared" si="2"/>
        <v>0</v>
      </c>
      <c r="T8" s="24"/>
    </row>
    <row r="9" spans="1:20" s="25" customFormat="1" ht="18" customHeight="1">
      <c r="A9" s="16"/>
      <c r="B9" s="17"/>
      <c r="C9" s="17"/>
      <c r="D9" s="17"/>
      <c r="E9" s="17"/>
      <c r="F9" s="17"/>
      <c r="G9" s="18"/>
      <c r="H9" s="26"/>
      <c r="I9" s="48"/>
      <c r="J9" s="28"/>
      <c r="K9" s="28"/>
      <c r="L9" s="29"/>
      <c r="M9" s="29"/>
      <c r="N9" s="44"/>
      <c r="O9" s="74">
        <f t="shared" si="0"/>
        <v>0</v>
      </c>
      <c r="P9" s="31"/>
      <c r="Q9" s="74">
        <f t="shared" si="1"/>
        <v>0</v>
      </c>
      <c r="R9" s="74">
        <f t="shared" si="3"/>
        <v>0</v>
      </c>
      <c r="S9" s="74">
        <f t="shared" si="2"/>
        <v>0</v>
      </c>
      <c r="T9" s="24"/>
    </row>
    <row r="10" spans="1:20" s="25" customFormat="1" ht="18" customHeight="1">
      <c r="A10" s="16"/>
      <c r="B10" s="17"/>
      <c r="C10" s="17"/>
      <c r="D10" s="17"/>
      <c r="E10" s="17"/>
      <c r="F10" s="17"/>
      <c r="G10" s="18"/>
      <c r="H10" s="26">
        <v>2</v>
      </c>
      <c r="I10" s="48" t="s">
        <v>74</v>
      </c>
      <c r="J10" s="85" t="s">
        <v>76</v>
      </c>
      <c r="K10" s="28" t="s">
        <v>75</v>
      </c>
      <c r="L10" s="29">
        <v>150</v>
      </c>
      <c r="M10" s="29"/>
      <c r="N10" s="44">
        <v>40000</v>
      </c>
      <c r="O10" s="74">
        <f t="shared" si="0"/>
        <v>6000000</v>
      </c>
      <c r="P10" s="31"/>
      <c r="Q10" s="74">
        <f t="shared" si="1"/>
        <v>0</v>
      </c>
      <c r="R10" s="74">
        <f t="shared" si="3"/>
        <v>40000</v>
      </c>
      <c r="S10" s="74">
        <f t="shared" si="2"/>
        <v>6000000</v>
      </c>
      <c r="T10" s="24"/>
    </row>
    <row r="11" spans="1:20" s="25" customFormat="1" ht="18" customHeight="1">
      <c r="A11" s="16"/>
      <c r="B11" s="17"/>
      <c r="C11" s="17"/>
      <c r="D11" s="17"/>
      <c r="E11" s="17"/>
      <c r="F11" s="17"/>
      <c r="G11" s="18"/>
      <c r="H11" s="26"/>
      <c r="I11" s="48" t="s">
        <v>77</v>
      </c>
      <c r="J11" s="28"/>
      <c r="K11" s="28" t="s">
        <v>64</v>
      </c>
      <c r="L11" s="29">
        <v>3</v>
      </c>
      <c r="M11" s="29"/>
      <c r="N11" s="44">
        <v>750000</v>
      </c>
      <c r="O11" s="74">
        <f t="shared" si="0"/>
        <v>2250000</v>
      </c>
      <c r="P11" s="31"/>
      <c r="Q11" s="74">
        <f t="shared" si="1"/>
        <v>0</v>
      </c>
      <c r="R11" s="74">
        <f t="shared" si="3"/>
        <v>750000</v>
      </c>
      <c r="S11" s="74">
        <f t="shared" si="2"/>
        <v>2250000</v>
      </c>
      <c r="T11" s="24"/>
    </row>
    <row r="12" spans="1:20" s="38" customFormat="1" ht="18" customHeight="1">
      <c r="A12" s="33"/>
      <c r="B12" s="34"/>
      <c r="C12" s="34"/>
      <c r="D12" s="34"/>
      <c r="E12" s="34"/>
      <c r="F12" s="34"/>
      <c r="G12" s="35"/>
      <c r="H12" s="83"/>
      <c r="I12" s="48" t="s">
        <v>78</v>
      </c>
      <c r="J12" s="28" t="s">
        <v>79</v>
      </c>
      <c r="K12" s="28" t="s">
        <v>64</v>
      </c>
      <c r="L12" s="29">
        <v>3</v>
      </c>
      <c r="M12" s="29"/>
      <c r="N12" s="44">
        <v>180000</v>
      </c>
      <c r="O12" s="74">
        <f t="shared" si="0"/>
        <v>540000</v>
      </c>
      <c r="P12" s="31"/>
      <c r="Q12" s="74">
        <f t="shared" si="1"/>
        <v>0</v>
      </c>
      <c r="R12" s="74">
        <f t="shared" si="3"/>
        <v>180000</v>
      </c>
      <c r="S12" s="74">
        <f t="shared" si="2"/>
        <v>540000</v>
      </c>
      <c r="T12" s="24"/>
    </row>
    <row r="13" spans="1:20" s="38" customFormat="1" ht="18" customHeight="1">
      <c r="A13" s="33"/>
      <c r="B13" s="34"/>
      <c r="C13" s="34"/>
      <c r="D13" s="34"/>
      <c r="E13" s="34"/>
      <c r="F13" s="34"/>
      <c r="G13" s="35"/>
      <c r="H13" s="26"/>
      <c r="I13" s="48" t="s">
        <v>84</v>
      </c>
      <c r="J13" s="28"/>
      <c r="K13" s="28" t="s">
        <v>85</v>
      </c>
      <c r="L13" s="29">
        <v>1</v>
      </c>
      <c r="M13" s="29"/>
      <c r="N13" s="44">
        <v>850000</v>
      </c>
      <c r="O13" s="74">
        <f t="shared" si="0"/>
        <v>850000</v>
      </c>
      <c r="P13" s="31"/>
      <c r="Q13" s="74">
        <f t="shared" si="1"/>
        <v>0</v>
      </c>
      <c r="R13" s="74">
        <f t="shared" si="3"/>
        <v>850000</v>
      </c>
      <c r="S13" s="74">
        <f t="shared" si="2"/>
        <v>850000</v>
      </c>
      <c r="T13" s="24"/>
    </row>
    <row r="14" spans="1:20" s="38" customFormat="1" ht="18" customHeight="1">
      <c r="A14" s="33"/>
      <c r="B14" s="34"/>
      <c r="C14" s="34"/>
      <c r="D14" s="34"/>
      <c r="E14" s="34"/>
      <c r="F14" s="34"/>
      <c r="G14" s="35"/>
      <c r="H14" s="36">
        <v>3</v>
      </c>
      <c r="I14" s="48" t="s">
        <v>80</v>
      </c>
      <c r="J14" s="28"/>
      <c r="K14" s="28" t="s">
        <v>64</v>
      </c>
      <c r="L14" s="29">
        <v>3</v>
      </c>
      <c r="M14" s="29"/>
      <c r="N14" s="44">
        <v>210000</v>
      </c>
      <c r="O14" s="81">
        <f>N14*L14</f>
        <v>630000</v>
      </c>
      <c r="P14" s="31"/>
      <c r="Q14" s="81">
        <f>P14*L14</f>
        <v>0</v>
      </c>
      <c r="R14" s="74">
        <f>P14+N14</f>
        <v>210000</v>
      </c>
      <c r="S14" s="74">
        <f t="shared" si="2"/>
        <v>630000</v>
      </c>
      <c r="T14" s="24"/>
    </row>
    <row r="15" spans="1:20" s="38" customFormat="1" ht="18" customHeight="1">
      <c r="A15" s="33"/>
      <c r="B15" s="34"/>
      <c r="C15" s="34"/>
      <c r="D15" s="34"/>
      <c r="E15" s="34"/>
      <c r="F15" s="34"/>
      <c r="G15" s="35"/>
      <c r="H15" s="82" t="s">
        <v>60</v>
      </c>
      <c r="I15" s="48" t="s">
        <v>81</v>
      </c>
      <c r="J15" s="28"/>
      <c r="K15" s="28" t="s">
        <v>64</v>
      </c>
      <c r="L15" s="29">
        <v>3</v>
      </c>
      <c r="M15" s="29"/>
      <c r="N15" s="44">
        <v>210000</v>
      </c>
      <c r="O15" s="81">
        <f t="shared" ref="O15:O18" si="4">N15*L15</f>
        <v>630000</v>
      </c>
      <c r="P15" s="31"/>
      <c r="Q15" s="81">
        <f t="shared" ref="Q15:Q18" si="5">P15*L15</f>
        <v>0</v>
      </c>
      <c r="R15" s="74">
        <f t="shared" ref="R15:R18" si="6">P15+N15</f>
        <v>210000</v>
      </c>
      <c r="S15" s="74">
        <f t="shared" ref="S15:S18" si="7">R15*L15</f>
        <v>630000</v>
      </c>
      <c r="T15" s="24"/>
    </row>
    <row r="16" spans="1:20" s="38" customFormat="1" ht="18" customHeight="1">
      <c r="A16" s="33"/>
      <c r="B16" s="34"/>
      <c r="C16" s="34"/>
      <c r="D16" s="34"/>
      <c r="E16" s="34"/>
      <c r="F16" s="34"/>
      <c r="G16" s="35"/>
      <c r="H16" s="36"/>
      <c r="I16" s="48" t="s">
        <v>82</v>
      </c>
      <c r="J16" s="28"/>
      <c r="K16" s="28" t="s">
        <v>64</v>
      </c>
      <c r="L16" s="29">
        <v>3</v>
      </c>
      <c r="M16" s="29"/>
      <c r="N16" s="44">
        <v>45000</v>
      </c>
      <c r="O16" s="81">
        <f t="shared" si="4"/>
        <v>135000</v>
      </c>
      <c r="P16" s="31"/>
      <c r="Q16" s="81">
        <f t="shared" si="5"/>
        <v>0</v>
      </c>
      <c r="R16" s="74">
        <f t="shared" si="6"/>
        <v>45000</v>
      </c>
      <c r="S16" s="74">
        <f t="shared" si="7"/>
        <v>135000</v>
      </c>
      <c r="T16" s="37"/>
    </row>
    <row r="17" spans="1:20" s="25" customFormat="1" ht="18" customHeight="1">
      <c r="A17" s="16"/>
      <c r="B17" s="17"/>
      <c r="C17" s="17"/>
      <c r="D17" s="17"/>
      <c r="E17" s="17"/>
      <c r="F17" s="17"/>
      <c r="G17" s="18"/>
      <c r="H17" s="36" t="s">
        <v>36</v>
      </c>
      <c r="I17" s="86" t="s">
        <v>83</v>
      </c>
      <c r="J17" s="28"/>
      <c r="K17" s="28"/>
      <c r="L17" s="29"/>
      <c r="M17" s="29"/>
      <c r="N17" s="44"/>
      <c r="O17" s="81">
        <f t="shared" si="4"/>
        <v>0</v>
      </c>
      <c r="P17" s="31"/>
      <c r="Q17" s="81">
        <f t="shared" si="5"/>
        <v>0</v>
      </c>
      <c r="R17" s="74">
        <f t="shared" si="6"/>
        <v>0</v>
      </c>
      <c r="S17" s="75">
        <f t="shared" si="7"/>
        <v>0</v>
      </c>
      <c r="T17" s="37"/>
    </row>
    <row r="18" spans="1:20" s="38" customFormat="1" ht="18" customHeight="1">
      <c r="A18" s="33"/>
      <c r="B18" s="34"/>
      <c r="C18" s="34"/>
      <c r="D18" s="34"/>
      <c r="E18" s="34"/>
      <c r="F18" s="34"/>
      <c r="G18" s="35"/>
      <c r="H18" s="36" t="s">
        <v>36</v>
      </c>
      <c r="I18" s="20" t="s">
        <v>36</v>
      </c>
      <c r="J18" s="28"/>
      <c r="K18" s="28"/>
      <c r="L18" s="29"/>
      <c r="M18" s="29"/>
      <c r="N18" s="44"/>
      <c r="O18" s="81">
        <f t="shared" si="4"/>
        <v>0</v>
      </c>
      <c r="P18" s="31"/>
      <c r="Q18" s="81">
        <f t="shared" si="5"/>
        <v>0</v>
      </c>
      <c r="R18" s="74">
        <f t="shared" si="6"/>
        <v>0</v>
      </c>
      <c r="S18" s="75">
        <f t="shared" si="7"/>
        <v>0</v>
      </c>
      <c r="T18" s="37"/>
    </row>
    <row r="19" spans="1:20" s="38" customFormat="1" ht="18" customHeight="1">
      <c r="A19" s="33"/>
      <c r="B19" s="34"/>
      <c r="C19" s="34"/>
      <c r="D19" s="34"/>
      <c r="E19" s="34"/>
      <c r="F19" s="34"/>
      <c r="G19" s="35"/>
      <c r="H19" s="36">
        <v>4</v>
      </c>
      <c r="I19" s="48" t="s">
        <v>86</v>
      </c>
      <c r="J19" s="28"/>
      <c r="K19" s="28" t="s">
        <v>85</v>
      </c>
      <c r="L19" s="29">
        <v>1</v>
      </c>
      <c r="M19" s="29"/>
      <c r="N19" s="44">
        <v>550000</v>
      </c>
      <c r="O19" s="81">
        <f t="shared" ref="O19:O23" si="8">N19*L19</f>
        <v>550000</v>
      </c>
      <c r="P19" s="31"/>
      <c r="Q19" s="81">
        <f t="shared" ref="Q19:Q23" si="9">P19*L19</f>
        <v>0</v>
      </c>
      <c r="R19" s="74">
        <f t="shared" ref="R19:R24" si="10">P19+N19</f>
        <v>550000</v>
      </c>
      <c r="S19" s="74">
        <f t="shared" ref="S19:S24" si="11">R19*L19</f>
        <v>550000</v>
      </c>
      <c r="T19" s="37"/>
    </row>
    <row r="20" spans="1:20" s="38" customFormat="1" ht="18" customHeight="1">
      <c r="A20" s="33"/>
      <c r="B20" s="34"/>
      <c r="C20" s="34"/>
      <c r="D20" s="34"/>
      <c r="E20" s="34"/>
      <c r="F20" s="34"/>
      <c r="G20" s="35"/>
      <c r="H20" s="36"/>
      <c r="I20" s="39"/>
      <c r="J20" s="28"/>
      <c r="K20" s="28"/>
      <c r="L20" s="29"/>
      <c r="M20" s="29"/>
      <c r="N20" s="44"/>
      <c r="O20" s="81">
        <f t="shared" si="8"/>
        <v>0</v>
      </c>
      <c r="P20" s="31"/>
      <c r="Q20" s="81">
        <f t="shared" si="9"/>
        <v>0</v>
      </c>
      <c r="R20" s="74">
        <f t="shared" si="10"/>
        <v>0</v>
      </c>
      <c r="S20" s="74">
        <f t="shared" si="11"/>
        <v>0</v>
      </c>
      <c r="T20" s="24"/>
    </row>
    <row r="21" spans="1:20" s="38" customFormat="1" ht="18" customHeight="1">
      <c r="A21" s="33"/>
      <c r="B21" s="34"/>
      <c r="C21" s="34"/>
      <c r="D21" s="34"/>
      <c r="E21" s="34"/>
      <c r="F21" s="34"/>
      <c r="G21" s="35"/>
      <c r="H21" s="36"/>
      <c r="I21" s="49"/>
      <c r="J21" s="28"/>
      <c r="K21" s="28"/>
      <c r="L21" s="29"/>
      <c r="M21" s="29"/>
      <c r="N21" s="44"/>
      <c r="O21" s="81">
        <f t="shared" si="8"/>
        <v>0</v>
      </c>
      <c r="P21" s="31"/>
      <c r="Q21" s="81">
        <f t="shared" si="9"/>
        <v>0</v>
      </c>
      <c r="R21" s="74">
        <f t="shared" si="10"/>
        <v>0</v>
      </c>
      <c r="S21" s="74">
        <f t="shared" si="11"/>
        <v>0</v>
      </c>
      <c r="T21" s="37"/>
    </row>
    <row r="22" spans="1:20" s="38" customFormat="1" ht="18" customHeight="1">
      <c r="A22" s="33"/>
      <c r="B22" s="34"/>
      <c r="C22" s="34"/>
      <c r="D22" s="34"/>
      <c r="E22" s="34"/>
      <c r="F22" s="34"/>
      <c r="G22" s="35"/>
      <c r="H22" s="36"/>
      <c r="I22" s="48"/>
      <c r="J22" s="28"/>
      <c r="K22" s="28"/>
      <c r="L22" s="29"/>
      <c r="M22" s="29"/>
      <c r="N22" s="44"/>
      <c r="O22" s="81">
        <f t="shared" si="8"/>
        <v>0</v>
      </c>
      <c r="P22" s="31"/>
      <c r="Q22" s="81">
        <f t="shared" si="9"/>
        <v>0</v>
      </c>
      <c r="R22" s="74">
        <f t="shared" si="10"/>
        <v>0</v>
      </c>
      <c r="S22" s="74">
        <f t="shared" si="11"/>
        <v>0</v>
      </c>
      <c r="T22" s="37"/>
    </row>
    <row r="23" spans="1:20" s="38" customFormat="1" ht="18" customHeight="1">
      <c r="A23" s="33"/>
      <c r="B23" s="34"/>
      <c r="C23" s="34"/>
      <c r="D23" s="34"/>
      <c r="E23" s="34"/>
      <c r="F23" s="34"/>
      <c r="G23" s="35"/>
      <c r="H23" s="36"/>
      <c r="I23" s="48" t="s">
        <v>36</v>
      </c>
      <c r="J23" s="28"/>
      <c r="K23" s="28"/>
      <c r="L23" s="29"/>
      <c r="M23" s="29"/>
      <c r="N23" s="44"/>
      <c r="O23" s="81">
        <f t="shared" si="8"/>
        <v>0</v>
      </c>
      <c r="P23" s="31"/>
      <c r="Q23" s="81">
        <f t="shared" si="9"/>
        <v>0</v>
      </c>
      <c r="R23" s="74">
        <f t="shared" si="10"/>
        <v>0</v>
      </c>
      <c r="S23" s="75">
        <f t="shared" si="11"/>
        <v>0</v>
      </c>
      <c r="T23" s="37"/>
    </row>
    <row r="24" spans="1:20" s="38" customFormat="1" ht="18" customHeight="1">
      <c r="A24" s="33"/>
      <c r="B24" s="34"/>
      <c r="C24" s="34"/>
      <c r="D24" s="34"/>
      <c r="E24" s="34"/>
      <c r="F24" s="34"/>
      <c r="G24" s="35"/>
      <c r="H24" s="36" t="s">
        <v>43</v>
      </c>
      <c r="I24" s="48" t="s">
        <v>43</v>
      </c>
      <c r="J24" s="28"/>
      <c r="K24" s="28"/>
      <c r="L24" s="29"/>
      <c r="M24" s="29"/>
      <c r="N24" s="44"/>
      <c r="O24" s="81">
        <f>N24*L24</f>
        <v>0</v>
      </c>
      <c r="P24" s="31"/>
      <c r="Q24" s="81">
        <f>P24*L24</f>
        <v>0</v>
      </c>
      <c r="R24" s="74">
        <f t="shared" si="10"/>
        <v>0</v>
      </c>
      <c r="S24" s="75">
        <f t="shared" si="11"/>
        <v>0</v>
      </c>
      <c r="T24" s="37"/>
    </row>
    <row r="25" spans="1:20" s="38" customFormat="1" ht="18" customHeight="1">
      <c r="A25" s="33"/>
      <c r="B25" s="34"/>
      <c r="C25" s="34"/>
      <c r="D25" s="34"/>
      <c r="E25" s="34"/>
      <c r="F25" s="34"/>
      <c r="G25" s="35"/>
      <c r="H25" s="36"/>
      <c r="I25" s="48"/>
      <c r="J25" s="28"/>
      <c r="K25" s="28"/>
      <c r="L25" s="29"/>
      <c r="M25" s="29"/>
      <c r="N25" s="44"/>
      <c r="O25" s="81">
        <f t="shared" ref="O25:O28" si="12">N25*L25</f>
        <v>0</v>
      </c>
      <c r="P25" s="31"/>
      <c r="Q25" s="81">
        <f t="shared" ref="Q25:Q28" si="13">P25*L25</f>
        <v>0</v>
      </c>
      <c r="R25" s="74">
        <f t="shared" ref="R25:R30" si="14">P25+N25</f>
        <v>0</v>
      </c>
      <c r="S25" s="75">
        <f t="shared" ref="S25:S28" si="15">R25*L25</f>
        <v>0</v>
      </c>
      <c r="T25" s="37"/>
    </row>
    <row r="26" spans="1:20" s="38" customFormat="1" ht="18" customHeight="1">
      <c r="A26" s="33"/>
      <c r="B26" s="34"/>
      <c r="C26" s="34"/>
      <c r="D26" s="34"/>
      <c r="E26" s="34"/>
      <c r="F26" s="34"/>
      <c r="G26" s="35"/>
      <c r="H26" s="36"/>
      <c r="I26" s="48" t="s">
        <v>43</v>
      </c>
      <c r="J26" s="28"/>
      <c r="K26" s="28"/>
      <c r="L26" s="29"/>
      <c r="M26" s="29"/>
      <c r="N26" s="44"/>
      <c r="O26" s="81">
        <f t="shared" si="12"/>
        <v>0</v>
      </c>
      <c r="P26" s="31"/>
      <c r="Q26" s="81">
        <f t="shared" si="13"/>
        <v>0</v>
      </c>
      <c r="R26" s="74">
        <f t="shared" si="14"/>
        <v>0</v>
      </c>
      <c r="S26" s="75">
        <f t="shared" si="15"/>
        <v>0</v>
      </c>
      <c r="T26" s="37"/>
    </row>
    <row r="27" spans="1:20" s="38" customFormat="1" ht="18" customHeight="1">
      <c r="A27" s="33"/>
      <c r="B27" s="34"/>
      <c r="C27" s="34"/>
      <c r="D27" s="34"/>
      <c r="E27" s="34"/>
      <c r="F27" s="34"/>
      <c r="G27" s="35"/>
      <c r="H27" s="36" t="s">
        <v>37</v>
      </c>
      <c r="I27" s="40" t="s">
        <v>43</v>
      </c>
      <c r="J27" s="28"/>
      <c r="K27" s="28"/>
      <c r="L27" s="29"/>
      <c r="M27" s="29"/>
      <c r="N27" s="44"/>
      <c r="O27" s="81">
        <f t="shared" si="12"/>
        <v>0</v>
      </c>
      <c r="P27" s="31"/>
      <c r="Q27" s="81">
        <f t="shared" si="13"/>
        <v>0</v>
      </c>
      <c r="R27" s="74">
        <f t="shared" si="14"/>
        <v>0</v>
      </c>
      <c r="S27" s="75">
        <f t="shared" si="15"/>
        <v>0</v>
      </c>
      <c r="T27" s="37"/>
    </row>
    <row r="28" spans="1:20" s="38" customFormat="1" ht="18" customHeight="1">
      <c r="A28" s="33"/>
      <c r="B28" s="34"/>
      <c r="C28" s="34"/>
      <c r="D28" s="34"/>
      <c r="E28" s="34"/>
      <c r="F28" s="34"/>
      <c r="G28" s="35"/>
      <c r="H28" s="36"/>
      <c r="I28" s="27" t="s">
        <v>43</v>
      </c>
      <c r="J28" s="28"/>
      <c r="K28" s="28"/>
      <c r="L28" s="29"/>
      <c r="M28" s="29"/>
      <c r="N28" s="44"/>
      <c r="O28" s="81">
        <f t="shared" si="12"/>
        <v>0</v>
      </c>
      <c r="P28" s="31"/>
      <c r="Q28" s="81">
        <f t="shared" si="13"/>
        <v>0</v>
      </c>
      <c r="R28" s="74">
        <f t="shared" si="14"/>
        <v>0</v>
      </c>
      <c r="S28" s="75">
        <f t="shared" si="15"/>
        <v>0</v>
      </c>
      <c r="T28" s="37"/>
    </row>
    <row r="29" spans="1:20" s="38" customFormat="1" ht="18" customHeight="1">
      <c r="A29" s="33"/>
      <c r="B29" s="34"/>
      <c r="C29" s="34"/>
      <c r="D29" s="34"/>
      <c r="E29" s="34"/>
      <c r="F29" s="34"/>
      <c r="G29" s="35"/>
      <c r="H29" s="36"/>
      <c r="I29" s="27"/>
      <c r="J29" s="28"/>
      <c r="K29" s="28"/>
      <c r="L29" s="29"/>
      <c r="M29" s="29"/>
      <c r="N29" s="44"/>
      <c r="O29" s="81">
        <f>N29*L29</f>
        <v>0</v>
      </c>
      <c r="P29" s="31"/>
      <c r="Q29" s="81">
        <f>P29*L29</f>
        <v>0</v>
      </c>
      <c r="R29" s="74">
        <f t="shared" si="14"/>
        <v>0</v>
      </c>
      <c r="S29" s="74">
        <f>Q30*L29</f>
        <v>0</v>
      </c>
      <c r="T29" s="37"/>
    </row>
    <row r="30" spans="1:20" s="38" customFormat="1" ht="18" customHeight="1">
      <c r="A30" s="33"/>
      <c r="B30" s="34"/>
      <c r="C30" s="34"/>
      <c r="D30" s="34"/>
      <c r="E30" s="34"/>
      <c r="F30" s="34"/>
      <c r="G30" s="35"/>
      <c r="H30" s="36">
        <v>5</v>
      </c>
      <c r="I30" s="27" t="s">
        <v>44</v>
      </c>
      <c r="J30" s="28"/>
      <c r="K30" s="28"/>
      <c r="L30" s="29"/>
      <c r="M30" s="29"/>
      <c r="N30" s="44"/>
      <c r="O30" s="81">
        <f>N30*L30</f>
        <v>0</v>
      </c>
      <c r="P30" s="31"/>
      <c r="Q30" s="74">
        <f>P29+N29</f>
        <v>0</v>
      </c>
      <c r="R30" s="74">
        <f t="shared" si="14"/>
        <v>0</v>
      </c>
      <c r="S30" s="75">
        <f>SUM(S3:S29)</f>
        <v>18561200</v>
      </c>
      <c r="T30" s="37"/>
    </row>
    <row r="31" spans="1:20">
      <c r="H31" s="26"/>
      <c r="I31" s="48" t="s">
        <v>36</v>
      </c>
      <c r="J31" s="28"/>
      <c r="K31" s="28"/>
      <c r="L31" s="29">
        <v>0</v>
      </c>
      <c r="M31" s="29"/>
      <c r="N31" s="44"/>
      <c r="O31" s="23">
        <f t="shared" ref="O31:O32" si="16">N31*L31</f>
        <v>0</v>
      </c>
      <c r="P31" s="31"/>
      <c r="Q31" s="23">
        <f t="shared" ref="Q31:Q32" si="17">P31*L31</f>
        <v>0</v>
      </c>
      <c r="R31" s="23">
        <f t="shared" ref="R31:R32" si="18">P31+N31</f>
        <v>0</v>
      </c>
      <c r="S31" s="23">
        <f t="shared" ref="S31:S32" si="19">R31*L31</f>
        <v>0</v>
      </c>
      <c r="T31" s="37"/>
    </row>
    <row r="32" spans="1:20">
      <c r="H32" s="26"/>
      <c r="I32" s="48" t="s">
        <v>36</v>
      </c>
      <c r="J32" s="28"/>
      <c r="K32" s="28"/>
      <c r="L32" s="29">
        <v>0</v>
      </c>
      <c r="M32" s="29"/>
      <c r="N32" s="44"/>
      <c r="O32" s="23">
        <f t="shared" si="16"/>
        <v>0</v>
      </c>
      <c r="P32" s="31"/>
      <c r="Q32" s="23">
        <f t="shared" si="17"/>
        <v>0</v>
      </c>
      <c r="R32" s="23">
        <f t="shared" si="18"/>
        <v>0</v>
      </c>
      <c r="S32" s="23">
        <f t="shared" si="19"/>
        <v>0</v>
      </c>
      <c r="T32" s="24"/>
    </row>
    <row r="33" spans="8:20">
      <c r="H33" s="26"/>
      <c r="I33" s="49" t="s">
        <v>36</v>
      </c>
      <c r="J33" s="28"/>
      <c r="K33" s="46"/>
      <c r="L33" s="50">
        <v>0</v>
      </c>
      <c r="M33" s="21"/>
      <c r="N33" s="22"/>
      <c r="O33" s="23">
        <f t="shared" ref="O33:O41" si="20">N33*L33</f>
        <v>0</v>
      </c>
      <c r="P33" s="22"/>
      <c r="Q33" s="23">
        <f t="shared" ref="Q33:Q41" si="21">P33*L33</f>
        <v>0</v>
      </c>
      <c r="R33" s="23">
        <f t="shared" ref="R33:R41" si="22">P33+N33</f>
        <v>0</v>
      </c>
      <c r="S33" s="23">
        <f t="shared" ref="S33:S41" si="23">R33*L33</f>
        <v>0</v>
      </c>
      <c r="T33" s="24"/>
    </row>
    <row r="34" spans="8:20">
      <c r="H34" s="26" t="s">
        <v>36</v>
      </c>
      <c r="I34" s="48" t="s">
        <v>36</v>
      </c>
      <c r="J34" s="28"/>
      <c r="K34" s="46"/>
      <c r="L34" s="50">
        <v>0</v>
      </c>
      <c r="M34" s="21" t="s">
        <v>36</v>
      </c>
      <c r="N34" s="22"/>
      <c r="O34" s="23">
        <f t="shared" si="20"/>
        <v>0</v>
      </c>
      <c r="P34" s="22"/>
      <c r="Q34" s="23">
        <f t="shared" si="21"/>
        <v>0</v>
      </c>
      <c r="R34" s="23">
        <f t="shared" si="22"/>
        <v>0</v>
      </c>
      <c r="S34" s="23">
        <f t="shared" si="23"/>
        <v>0</v>
      </c>
      <c r="T34" s="24"/>
    </row>
    <row r="35" spans="8:20">
      <c r="H35" s="26" t="s">
        <v>39</v>
      </c>
      <c r="I35" s="48" t="s">
        <v>36</v>
      </c>
      <c r="J35" s="28"/>
      <c r="K35" s="28"/>
      <c r="L35" s="29">
        <v>0</v>
      </c>
      <c r="M35" s="29"/>
      <c r="N35" s="47"/>
      <c r="O35" s="23">
        <f t="shared" si="20"/>
        <v>0</v>
      </c>
      <c r="P35" s="31"/>
      <c r="Q35" s="23">
        <f t="shared" si="21"/>
        <v>0</v>
      </c>
      <c r="R35" s="23">
        <f t="shared" si="22"/>
        <v>0</v>
      </c>
      <c r="S35" s="23">
        <f t="shared" si="23"/>
        <v>0</v>
      </c>
      <c r="T35" s="24"/>
    </row>
    <row r="36" spans="8:20">
      <c r="H36" s="32" t="s">
        <v>39</v>
      </c>
      <c r="I36" s="48" t="s">
        <v>36</v>
      </c>
      <c r="J36" s="28"/>
      <c r="K36" s="28"/>
      <c r="L36" s="29">
        <v>0</v>
      </c>
      <c r="M36" s="29"/>
      <c r="N36" s="44"/>
      <c r="O36" s="23">
        <f t="shared" si="20"/>
        <v>0</v>
      </c>
      <c r="P36" s="31"/>
      <c r="Q36" s="23">
        <f t="shared" si="21"/>
        <v>0</v>
      </c>
      <c r="R36" s="23">
        <f t="shared" si="22"/>
        <v>0</v>
      </c>
      <c r="S36" s="23">
        <f t="shared" si="23"/>
        <v>0</v>
      </c>
      <c r="T36" s="24"/>
    </row>
    <row r="37" spans="8:20">
      <c r="H37" s="26" t="s">
        <v>39</v>
      </c>
      <c r="I37" s="48" t="s">
        <v>36</v>
      </c>
      <c r="J37" s="28"/>
      <c r="K37" s="28"/>
      <c r="L37" s="29">
        <v>0</v>
      </c>
      <c r="M37" s="29"/>
      <c r="N37" s="44"/>
      <c r="O37" s="23">
        <f t="shared" si="20"/>
        <v>0</v>
      </c>
      <c r="P37" s="31"/>
      <c r="Q37" s="23">
        <f t="shared" si="21"/>
        <v>0</v>
      </c>
      <c r="R37" s="23">
        <f t="shared" si="22"/>
        <v>0</v>
      </c>
      <c r="S37" s="23">
        <f t="shared" si="23"/>
        <v>0</v>
      </c>
      <c r="T37" s="24"/>
    </row>
    <row r="38" spans="8:20">
      <c r="H38" s="26" t="s">
        <v>36</v>
      </c>
      <c r="I38" s="48" t="s">
        <v>36</v>
      </c>
      <c r="J38" s="28"/>
      <c r="K38" s="28"/>
      <c r="L38" s="29">
        <v>0</v>
      </c>
      <c r="M38" s="29"/>
      <c r="N38" s="44"/>
      <c r="O38" s="23">
        <f t="shared" si="20"/>
        <v>0</v>
      </c>
      <c r="P38" s="31"/>
      <c r="Q38" s="23">
        <f t="shared" si="21"/>
        <v>0</v>
      </c>
      <c r="R38" s="23">
        <f t="shared" si="22"/>
        <v>0</v>
      </c>
      <c r="S38" s="23">
        <f t="shared" si="23"/>
        <v>0</v>
      </c>
      <c r="T38" s="24"/>
    </row>
    <row r="39" spans="8:20">
      <c r="H39" s="26"/>
      <c r="I39" s="48" t="s">
        <v>36</v>
      </c>
      <c r="J39" s="28"/>
      <c r="K39" s="28"/>
      <c r="L39" s="29">
        <v>0</v>
      </c>
      <c r="M39" s="29"/>
      <c r="N39" s="44"/>
      <c r="O39" s="23">
        <f t="shared" si="20"/>
        <v>0</v>
      </c>
      <c r="P39" s="31"/>
      <c r="Q39" s="23">
        <f t="shared" si="21"/>
        <v>0</v>
      </c>
      <c r="R39" s="23">
        <f t="shared" si="22"/>
        <v>0</v>
      </c>
      <c r="S39" s="23">
        <f t="shared" si="23"/>
        <v>0</v>
      </c>
      <c r="T39" s="24"/>
    </row>
    <row r="40" spans="8:20">
      <c r="H40" s="26"/>
      <c r="I40" s="48" t="s">
        <v>36</v>
      </c>
      <c r="J40" s="28"/>
      <c r="K40" s="28"/>
      <c r="L40" s="29">
        <v>0</v>
      </c>
      <c r="M40" s="29"/>
      <c r="N40" s="44"/>
      <c r="O40" s="23">
        <f t="shared" si="20"/>
        <v>0</v>
      </c>
      <c r="P40" s="31"/>
      <c r="Q40" s="23">
        <f t="shared" si="21"/>
        <v>0</v>
      </c>
      <c r="R40" s="23">
        <f t="shared" si="22"/>
        <v>0</v>
      </c>
      <c r="S40" s="23">
        <f t="shared" si="23"/>
        <v>0</v>
      </c>
      <c r="T40" s="24"/>
    </row>
    <row r="41" spans="8:20">
      <c r="H41" s="26"/>
      <c r="I41" s="48" t="s">
        <v>36</v>
      </c>
      <c r="J41" s="28" t="s">
        <v>36</v>
      </c>
      <c r="K41" s="28"/>
      <c r="L41" s="29">
        <v>0</v>
      </c>
      <c r="M41" s="29"/>
      <c r="N41" s="44"/>
      <c r="O41" s="23">
        <f t="shared" si="20"/>
        <v>0</v>
      </c>
      <c r="P41" s="31"/>
      <c r="Q41" s="23">
        <f t="shared" si="21"/>
        <v>0</v>
      </c>
      <c r="R41" s="23">
        <f t="shared" si="22"/>
        <v>0</v>
      </c>
      <c r="S41" s="23">
        <f t="shared" si="23"/>
        <v>0</v>
      </c>
      <c r="T41" s="24"/>
    </row>
    <row r="42" spans="8:20">
      <c r="H42" s="26"/>
      <c r="I42" s="48" t="s">
        <v>36</v>
      </c>
      <c r="J42" s="28"/>
      <c r="K42" s="28"/>
      <c r="L42" s="29">
        <v>0</v>
      </c>
      <c r="M42" s="29"/>
      <c r="N42" s="44"/>
      <c r="O42" s="23">
        <f t="shared" ref="O42:O43" si="24">N42*L42</f>
        <v>0</v>
      </c>
      <c r="P42" s="31"/>
      <c r="Q42" s="23">
        <f t="shared" ref="Q42:Q43" si="25">P42*L42</f>
        <v>0</v>
      </c>
      <c r="R42" s="23">
        <f t="shared" ref="R42:R43" si="26">P42+N42</f>
        <v>0</v>
      </c>
      <c r="S42" s="23">
        <f t="shared" ref="S42:S43" si="27">R42*L42</f>
        <v>0</v>
      </c>
      <c r="T42" s="24"/>
    </row>
    <row r="43" spans="8:20">
      <c r="H43" s="26"/>
      <c r="I43" s="48" t="s">
        <v>36</v>
      </c>
      <c r="J43" s="28"/>
      <c r="K43" s="28"/>
      <c r="L43" s="29">
        <v>0</v>
      </c>
      <c r="M43" s="29"/>
      <c r="N43" s="44"/>
      <c r="O43" s="23">
        <f t="shared" si="24"/>
        <v>0</v>
      </c>
      <c r="P43" s="31"/>
      <c r="Q43" s="23">
        <f t="shared" si="25"/>
        <v>0</v>
      </c>
      <c r="R43" s="23">
        <f t="shared" si="26"/>
        <v>0</v>
      </c>
      <c r="S43" s="23">
        <f t="shared" si="27"/>
        <v>0</v>
      </c>
      <c r="T43" s="24"/>
    </row>
    <row r="44" spans="8:20">
      <c r="H44" s="36"/>
      <c r="I44" s="48" t="s">
        <v>36</v>
      </c>
      <c r="J44" s="28"/>
      <c r="K44" s="28"/>
      <c r="L44" s="29">
        <v>0</v>
      </c>
      <c r="M44" s="29"/>
      <c r="N44" s="44"/>
      <c r="O44" s="30">
        <f t="shared" ref="O44:O51" si="28">N44*L44</f>
        <v>0</v>
      </c>
      <c r="P44" s="31"/>
      <c r="Q44" s="30">
        <f t="shared" ref="Q44:Q51" si="29">P44*L44</f>
        <v>0</v>
      </c>
      <c r="R44" s="23">
        <f t="shared" ref="R44:R51" si="30">P44+N44</f>
        <v>0</v>
      </c>
      <c r="S44" s="45">
        <f t="shared" ref="S44:S51" si="31">R44*L44</f>
        <v>0</v>
      </c>
      <c r="T44" s="24"/>
    </row>
    <row r="45" spans="8:20">
      <c r="H45" s="26"/>
      <c r="I45" s="48" t="s">
        <v>36</v>
      </c>
      <c r="J45" s="28"/>
      <c r="K45" s="28"/>
      <c r="L45" s="29">
        <v>0</v>
      </c>
      <c r="M45" s="29"/>
      <c r="N45" s="44"/>
      <c r="O45" s="23">
        <f t="shared" si="28"/>
        <v>0</v>
      </c>
      <c r="P45" s="31"/>
      <c r="Q45" s="23">
        <f t="shared" si="29"/>
        <v>0</v>
      </c>
      <c r="R45" s="23">
        <f t="shared" si="30"/>
        <v>0</v>
      </c>
      <c r="S45" s="23">
        <f t="shared" si="31"/>
        <v>0</v>
      </c>
      <c r="T45" s="37"/>
    </row>
    <row r="46" spans="8:20">
      <c r="H46" s="26"/>
      <c r="I46" s="48" t="s">
        <v>36</v>
      </c>
      <c r="J46" s="28"/>
      <c r="K46" s="28"/>
      <c r="L46" s="29">
        <v>0</v>
      </c>
      <c r="M46" s="29"/>
      <c r="N46" s="44"/>
      <c r="O46" s="23">
        <f t="shared" si="28"/>
        <v>0</v>
      </c>
      <c r="P46" s="31"/>
      <c r="Q46" s="23">
        <f t="shared" si="29"/>
        <v>0</v>
      </c>
      <c r="R46" s="23">
        <f t="shared" si="30"/>
        <v>0</v>
      </c>
      <c r="S46" s="23">
        <f t="shared" si="31"/>
        <v>0</v>
      </c>
      <c r="T46" s="24"/>
    </row>
    <row r="47" spans="8:20">
      <c r="H47" s="36"/>
      <c r="I47" s="48"/>
      <c r="J47" s="28"/>
      <c r="K47" s="28"/>
      <c r="L47" s="29">
        <v>0</v>
      </c>
      <c r="M47" s="29"/>
      <c r="N47" s="44"/>
      <c r="O47" s="30">
        <f t="shared" si="28"/>
        <v>0</v>
      </c>
      <c r="P47" s="31"/>
      <c r="Q47" s="30">
        <f t="shared" si="29"/>
        <v>0</v>
      </c>
      <c r="R47" s="23">
        <f t="shared" si="30"/>
        <v>0</v>
      </c>
      <c r="S47" s="23">
        <f t="shared" si="31"/>
        <v>0</v>
      </c>
      <c r="T47" s="24"/>
    </row>
    <row r="48" spans="8:20">
      <c r="H48" s="36"/>
      <c r="I48" s="39"/>
      <c r="J48" s="28"/>
      <c r="K48" s="28"/>
      <c r="L48" s="29">
        <v>0</v>
      </c>
      <c r="M48" s="29"/>
      <c r="N48" s="44"/>
      <c r="O48" s="30">
        <f t="shared" si="28"/>
        <v>0</v>
      </c>
      <c r="P48" s="31"/>
      <c r="Q48" s="30">
        <f t="shared" si="29"/>
        <v>0</v>
      </c>
      <c r="R48" s="23">
        <f t="shared" si="30"/>
        <v>0</v>
      </c>
      <c r="S48" s="23">
        <f t="shared" si="31"/>
        <v>0</v>
      </c>
      <c r="T48" s="37"/>
    </row>
    <row r="49" spans="8:20">
      <c r="H49" s="36" t="s">
        <v>36</v>
      </c>
      <c r="I49" s="49"/>
      <c r="J49" s="28"/>
      <c r="K49" s="28"/>
      <c r="L49" s="29">
        <v>0</v>
      </c>
      <c r="M49" s="29"/>
      <c r="N49" s="44"/>
      <c r="O49" s="30">
        <f t="shared" si="28"/>
        <v>0</v>
      </c>
      <c r="P49" s="31"/>
      <c r="Q49" s="30">
        <f t="shared" si="29"/>
        <v>0</v>
      </c>
      <c r="R49" s="23">
        <f t="shared" si="30"/>
        <v>0</v>
      </c>
      <c r="S49" s="23">
        <f t="shared" si="31"/>
        <v>0</v>
      </c>
      <c r="T49" s="24"/>
    </row>
    <row r="50" spans="8:20">
      <c r="H50" s="36"/>
      <c r="I50" s="48"/>
      <c r="J50" s="28"/>
      <c r="K50" s="28"/>
      <c r="L50" s="29">
        <v>0</v>
      </c>
      <c r="M50" s="29"/>
      <c r="N50" s="44"/>
      <c r="O50" s="30">
        <f t="shared" si="28"/>
        <v>0</v>
      </c>
      <c r="P50" s="31"/>
      <c r="Q50" s="30">
        <f t="shared" si="29"/>
        <v>0</v>
      </c>
      <c r="R50" s="23">
        <f t="shared" si="30"/>
        <v>0</v>
      </c>
      <c r="S50" s="23">
        <f t="shared" si="31"/>
        <v>0</v>
      </c>
      <c r="T50" s="37"/>
    </row>
    <row r="51" spans="8:20">
      <c r="H51" s="36"/>
      <c r="I51" s="48"/>
      <c r="J51" s="28"/>
      <c r="K51" s="28"/>
      <c r="L51" s="29">
        <v>0</v>
      </c>
      <c r="M51" s="29"/>
      <c r="N51" s="44"/>
      <c r="O51" s="30">
        <f t="shared" si="28"/>
        <v>0</v>
      </c>
      <c r="P51" s="31"/>
      <c r="Q51" s="30">
        <f t="shared" si="29"/>
        <v>0</v>
      </c>
      <c r="R51" s="23">
        <f t="shared" si="30"/>
        <v>0</v>
      </c>
      <c r="S51" s="45">
        <f t="shared" si="31"/>
        <v>0</v>
      </c>
      <c r="T51" s="37"/>
    </row>
    <row r="52" spans="8:20">
      <c r="H52" s="36" t="s">
        <v>36</v>
      </c>
      <c r="I52" s="48"/>
      <c r="J52" s="28"/>
      <c r="K52" s="28"/>
      <c r="L52" s="29">
        <v>0</v>
      </c>
      <c r="M52" s="29" t="s">
        <v>36</v>
      </c>
      <c r="N52" s="44"/>
      <c r="O52" s="30">
        <f>N52*L52</f>
        <v>0</v>
      </c>
      <c r="P52" s="31"/>
      <c r="Q52" s="30">
        <f>P52*L52</f>
        <v>0</v>
      </c>
      <c r="R52" s="23" t="s">
        <v>45</v>
      </c>
      <c r="S52" s="45" t="s">
        <v>36</v>
      </c>
      <c r="T52" s="37"/>
    </row>
    <row r="53" spans="8:20">
      <c r="H53" s="26"/>
      <c r="I53" s="48" t="s">
        <v>36</v>
      </c>
      <c r="J53" s="28"/>
      <c r="K53" s="28"/>
      <c r="L53" s="29">
        <v>0</v>
      </c>
      <c r="M53" s="29"/>
      <c r="N53" s="44"/>
      <c r="O53" s="23">
        <f t="shared" ref="O53:O58" si="32">N53*L53</f>
        <v>0</v>
      </c>
      <c r="P53" s="31"/>
      <c r="Q53" s="23">
        <f t="shared" ref="Q53:Q58" si="33">P53*L53</f>
        <v>0</v>
      </c>
      <c r="R53" s="23">
        <f t="shared" ref="R53:R58" si="34">P53+N53</f>
        <v>0</v>
      </c>
      <c r="S53" s="23">
        <f t="shared" ref="S53:S58" si="35">R53*L53</f>
        <v>0</v>
      </c>
      <c r="T53" s="37"/>
    </row>
    <row r="54" spans="8:20">
      <c r="H54" s="26"/>
      <c r="I54" s="48" t="s">
        <v>36</v>
      </c>
      <c r="J54" s="28"/>
      <c r="K54" s="28"/>
      <c r="L54" s="29">
        <v>0</v>
      </c>
      <c r="M54" s="29"/>
      <c r="N54" s="44"/>
      <c r="O54" s="23">
        <f t="shared" si="32"/>
        <v>0</v>
      </c>
      <c r="P54" s="31"/>
      <c r="Q54" s="23">
        <f t="shared" si="33"/>
        <v>0</v>
      </c>
      <c r="R54" s="23">
        <f t="shared" si="34"/>
        <v>0</v>
      </c>
      <c r="S54" s="23">
        <f t="shared" si="35"/>
        <v>0</v>
      </c>
      <c r="T54" s="24"/>
    </row>
    <row r="55" spans="8:20">
      <c r="H55" s="26"/>
      <c r="I55" s="48" t="s">
        <v>36</v>
      </c>
      <c r="J55" s="28"/>
      <c r="K55" s="28"/>
      <c r="L55" s="29">
        <v>0</v>
      </c>
      <c r="M55" s="29"/>
      <c r="N55" s="44"/>
      <c r="O55" s="23">
        <f t="shared" si="32"/>
        <v>0</v>
      </c>
      <c r="P55" s="31"/>
      <c r="Q55" s="23">
        <f t="shared" si="33"/>
        <v>0</v>
      </c>
      <c r="R55" s="23">
        <f t="shared" si="34"/>
        <v>0</v>
      </c>
      <c r="S55" s="23">
        <f t="shared" si="35"/>
        <v>0</v>
      </c>
      <c r="T55" s="24"/>
    </row>
    <row r="56" spans="8:20">
      <c r="H56" s="26"/>
      <c r="I56" s="48" t="s">
        <v>36</v>
      </c>
      <c r="J56" s="28"/>
      <c r="K56" s="28"/>
      <c r="L56" s="29">
        <v>0</v>
      </c>
      <c r="M56" s="29"/>
      <c r="N56" s="44"/>
      <c r="O56" s="23">
        <f t="shared" si="32"/>
        <v>0</v>
      </c>
      <c r="P56" s="31"/>
      <c r="Q56" s="23">
        <f t="shared" si="33"/>
        <v>0</v>
      </c>
      <c r="R56" s="23">
        <f t="shared" si="34"/>
        <v>0</v>
      </c>
      <c r="S56" s="23">
        <f t="shared" si="35"/>
        <v>0</v>
      </c>
      <c r="T56" s="24"/>
    </row>
    <row r="57" spans="8:20">
      <c r="H57" s="26"/>
      <c r="I57" s="48" t="s">
        <v>36</v>
      </c>
      <c r="J57" s="28"/>
      <c r="K57" s="28"/>
      <c r="L57" s="29">
        <v>0</v>
      </c>
      <c r="M57" s="29"/>
      <c r="N57" s="44"/>
      <c r="O57" s="23">
        <f t="shared" si="32"/>
        <v>0</v>
      </c>
      <c r="P57" s="31"/>
      <c r="Q57" s="23">
        <f t="shared" si="33"/>
        <v>0</v>
      </c>
      <c r="R57" s="23">
        <f t="shared" si="34"/>
        <v>0</v>
      </c>
      <c r="S57" s="23">
        <f t="shared" si="35"/>
        <v>0</v>
      </c>
      <c r="T57" s="24"/>
    </row>
    <row r="58" spans="8:20">
      <c r="H58" s="26"/>
      <c r="I58" s="48" t="s">
        <v>36</v>
      </c>
      <c r="J58" s="28"/>
      <c r="K58" s="28"/>
      <c r="L58" s="29">
        <v>0</v>
      </c>
      <c r="M58" s="29"/>
      <c r="N58" s="44"/>
      <c r="O58" s="23">
        <f t="shared" si="32"/>
        <v>0</v>
      </c>
      <c r="P58" s="31"/>
      <c r="Q58" s="23">
        <f t="shared" si="33"/>
        <v>0</v>
      </c>
      <c r="R58" s="23">
        <f t="shared" si="34"/>
        <v>0</v>
      </c>
      <c r="S58" s="23">
        <f t="shared" si="35"/>
        <v>0</v>
      </c>
      <c r="T58" s="24"/>
    </row>
    <row r="59" spans="8:20">
      <c r="T59" s="24"/>
    </row>
  </sheetData>
  <mergeCells count="3">
    <mergeCell ref="N1:O1"/>
    <mergeCell ref="P1:Q1"/>
    <mergeCell ref="R1:S1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88" fitToHeight="0" orientation="landscape" r:id="rId1"/>
  <headerFooter>
    <oddHeader xml:space="preserve">&amp;C&amp;"-,굵게"&amp;18 </oddHeader>
    <oddFooter xml:space="preserve">&amp;C1&amp;R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견적서</vt:lpstr>
      <vt:lpstr>내역서</vt:lpstr>
      <vt:lpstr>견적서!Print_Area</vt:lpstr>
      <vt:lpstr>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C500</dc:creator>
  <cp:lastModifiedBy>영필 김</cp:lastModifiedBy>
  <cp:revision>1</cp:revision>
  <cp:lastPrinted>2021-10-21T11:45:51Z</cp:lastPrinted>
  <dcterms:created xsi:type="dcterms:W3CDTF">2014-02-10T00:03:52Z</dcterms:created>
  <dcterms:modified xsi:type="dcterms:W3CDTF">2026-01-02T03:36:33Z</dcterms:modified>
</cp:coreProperties>
</file>